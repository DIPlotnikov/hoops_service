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WorkResources\core\authentication\scripts\sample\"/>
    </mc:Choice>
  </mc:AlternateContent>
  <xr:revisionPtr revIDLastSave="0" documentId="13_ncr:1_{B1B2A344-AF28-4CCD-810A-7BB77D634224}" xr6:coauthVersionLast="47" xr6:coauthVersionMax="47" xr10:uidLastSave="{00000000-0000-0000-0000-000000000000}"/>
  <bookViews>
    <workbookView showSheetTabs="0" xWindow="3120" yWindow="3120" windowWidth="28800" windowHeight="15345" tabRatio="0" activeTab="4" xr2:uid="{00000000-000D-0000-FFFF-FFFF00000000}"/>
  </bookViews>
  <sheets>
    <sheet name="Лист1" sheetId="2" r:id="rId1"/>
    <sheet name="Лист4" sheetId="5" r:id="rId2"/>
    <sheet name="Лист3" sheetId="4" r:id="rId3"/>
    <sheet name="Лист2" sheetId="3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2" i="1" l="1"/>
  <c r="CF18" i="1"/>
  <c r="CF17" i="1"/>
  <c r="BP18" i="1"/>
  <c r="DS19" i="1"/>
  <c r="DI17" i="1"/>
  <c r="DI19" i="1"/>
  <c r="CF19" i="1" l="1"/>
</calcChain>
</file>

<file path=xl/sharedStrings.xml><?xml version="1.0" encoding="utf-8"?>
<sst xmlns="http://schemas.openxmlformats.org/spreadsheetml/2006/main" count="158" uniqueCount="125">
  <si>
    <t>Универсальный передаточный
документ</t>
  </si>
  <si>
    <t>Счет-фактура №</t>
  </si>
  <si>
    <t>от</t>
  </si>
  <si>
    <t>31 Октября 2022 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</si>
  <si>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</si>
  <si>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2 апреля 2021 г. № 534)</t>
  </si>
  <si>
    <t>Исправление №</t>
  </si>
  <si>
    <t xml:space="preserve">---- </t>
  </si>
  <si>
    <t>----</t>
  </si>
  <si>
    <t>(1а)</t>
  </si>
  <si>
    <t>Продавец:</t>
  </si>
  <si>
    <t>(2)</t>
  </si>
  <si>
    <t>Покупатель:</t>
  </si>
  <si>
    <t>(6)</t>
  </si>
  <si>
    <t>Статус:</t>
  </si>
  <si>
    <t>1</t>
  </si>
  <si>
    <t>Адрес:</t>
  </si>
  <si>
    <t>(2а)</t>
  </si>
  <si>
    <t>(6а)</t>
  </si>
  <si>
    <t>ИНН/КПП продавца:</t>
  </si>
  <si>
    <t>(2б)</t>
  </si>
  <si>
    <t>ИНН/КПП покупателя:</t>
  </si>
  <si>
    <t>(6б)</t>
  </si>
  <si>
    <t>1 – счет-фактура и
передаточный
документ (акт)
2 – передаточный документ (акт)</t>
  </si>
  <si>
    <t>Грузоотправитель и его адрес:</t>
  </si>
  <si>
    <t>(3)</t>
  </si>
  <si>
    <t>Валюта: наименование, код</t>
  </si>
  <si>
    <t>Российский рубль, 643</t>
  </si>
  <si>
    <t>(7)</t>
  </si>
  <si>
    <t xml:space="preserve">Грузополучатель и его адрес: </t>
  </si>
  <si>
    <t>(4)</t>
  </si>
  <si>
    <t>Идентификатор государственного контракта, договора (соглашения) (при наличии):</t>
  </si>
  <si>
    <t>К платежно-расчетному документу №</t>
  </si>
  <si>
    <t>(5)</t>
  </si>
  <si>
    <t>Документ об отгрузке</t>
  </si>
  <si>
    <t>(5а)</t>
  </si>
  <si>
    <t xml:space="preserve"> </t>
  </si>
  <si>
    <t>(8)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</si>
  <si>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</si>
  <si>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</si>
  <si>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</si>
  <si>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</si>
  <si>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
измерения</t>
  </si>
  <si>
    <t>Коли-
чество (объем)</t>
  </si>
  <si>
    <t>Цена (тариф) 
за 
единицу 
измерения</t>
  </si>
  <si>
    <t>Стоимость товаров (работ, услуг), имуществен-
ных прав
без налога - всего</t>
  </si>
  <si>
    <t>В том
числе 
сумма
акциза</t>
  </si>
  <si>
    <t>Налого-
вая
ставка</t>
  </si>
  <si>
    <t>Сумма налога, 
предъяв-
ляемая 
покупателю</t>
  </si>
  <si>
    <t>Стоимость товаров
(работ, услуг), имуществен-
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</si>
  <si>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</si>
  <si>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</si>
  <si>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</si>
  <si>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
обозна-
чение 
(нацио-
нальное)</t>
  </si>
  <si>
    <t>циф-
ро-
вой 
код</t>
  </si>
  <si>
    <t>краткое 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</si>
  <si>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</si>
  <si>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</si>
  <si>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</si>
  <si>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</si>
  <si>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</si>
  <si>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</si>
  <si>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</si>
  <si>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</si>
  <si>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</si>
  <si>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</si>
  <si>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</si>
  <si>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</si>
  <si>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</si>
  <si>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</si>
  <si>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</si>
  <si>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356</t>
  </si>
  <si>
    <t>ч</t>
  </si>
  <si>
    <t>без акциза</t>
  </si>
  <si>
    <t>20%</t>
  </si>
  <si>
    <t>Всего к оплате</t>
  </si>
  <si>
    <t>Х</t>
  </si>
  <si>
    <t>Документ
составлен на</t>
  </si>
  <si>
    <t>Руководитель организации или иное 
уполномоченное лицо</t>
  </si>
  <si>
    <t>Волков А.В.</t>
  </si>
  <si>
    <t>Главный бухгалтер или иное 
уполномоченное лицо</t>
  </si>
  <si>
    <t>Индивидуальный предприниматель
или иное уполномоченное лицо</t>
  </si>
  <si>
    <t>(подпись)</t>
  </si>
  <si>
    <t>(ф.и.о)</t>
  </si>
  <si>
    <t>(реквизиты свидетельства о государственной регистрации индивидуального предпринимателя)</t>
  </si>
  <si>
    <t>Основание передачи (сдачи) / получения (приемки)</t>
  </si>
  <si>
    <t>[8]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</si>
  <si>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</si>
  <si>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</si>
  <si>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</si>
  <si>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</si>
  <si>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</si>
  <si>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 принял</t>
  </si>
  <si>
    <t>[10]</t>
  </si>
  <si>
    <t>[15]</t>
  </si>
  <si>
    <t>(должность)</t>
  </si>
  <si>
    <t>Дата отгрузки, передачи (сдачи)</t>
  </si>
  <si>
    <t>[11]</t>
  </si>
  <si>
    <t>Дата получения (приемки)</t>
  </si>
  <si>
    <t xml:space="preserve"> "       "                            20        г. 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</si>
  <si>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</si>
  <si>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</si>
  <si>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</si>
  <si>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</si>
  <si>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</si>
  <si>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</si>
  <si>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</si>
  <si>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</si>
  <si>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</si>
  <si>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</si>
  <si>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</si>
  <si>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</si>
  <si>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[14]</t>
  </si>
  <si>
    <t>[19]</t>
  </si>
  <si>
    <t>(может не заполняться при проставлении печати в М.П., может быть указан ИНН / КПП)</t>
  </si>
  <si>
    <t>М.П.</t>
  </si>
  <si>
    <t>листе</t>
  </si>
  <si>
    <t>Стоимость Услуг HOOPS Service</t>
  </si>
  <si>
    <t>без НДС</t>
  </si>
  <si>
    <t>Оказание Услуг HOOPS Service по Договору-оферте от 28.11.2022</t>
  </si>
  <si>
    <t>Выплаты Исполнителям За оказанные услуги по заявкам № хх, уу, zz….</t>
  </si>
  <si>
    <t>Общество с ограниченной ответственностью "ГОСТИНИЧНЫЕ РЕСУРСЫ"</t>
  </si>
  <si>
    <t>9703086470/770301001</t>
  </si>
  <si>
    <t>Общество с ограниченной ответственностью "ГОСТИНИЧНЫЕ РЕСУРСЫ", ИНН/КПП 9703086470/770301001</t>
  </si>
  <si>
    <t>123610, г. Москва, вн. тер. г. Муниципальный округ Пресненский,
наб. Краснопресненская, д.12, этаж/подъезд 2/7, офис 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</si>
</sst>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8"/>
      <name val="Arial"/>
      <family val="2"/>
      <charset val="204"/>
    </font>
    <font>
      <b/>
      <sz val="8"/>
      <name val="Arial"/>
      <family val="2"/>
      <charset val="204"/>
    </font>
    <font>
      <sz val="7"/>
      <name val="Arial"/>
      <family val="2"/>
      <charset val="204"/>
    </font>
    <font>
      <sz val="9"/>
      <name val="Arial"/>
      <family val="2"/>
      <charset val="204"/>
    </font>
    <font>
      <sz val="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68">
    <xf numFmtId="0" fontId="0" fillId="0" borderId="0" xfId="0" applyAlignment="1"/>
    <xf numFmtId="0" fontId="0" fillId="0" borderId="2" xfId="0" applyBorder="1" applyAlignment="1"/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4" xfId="0" applyFont="1" applyBorder="1" applyAlignment="1"/>
    <xf numFmtId="0" fontId="3" fillId="0" borderId="0" xfId="0" applyFont="1" applyAlignment="1"/>
    <xf numFmtId="0" fontId="3" fillId="0" borderId="2" xfId="0" applyFont="1" applyBorder="1" applyAlignment="1"/>
    <xf numFmtId="0" fontId="2" fillId="0" borderId="0" xfId="0" applyFont="1" applyAlignment="1">
      <alignment horizontal="center" vertical="top"/>
    </xf>
    <xf numFmtId="0" fontId="3" fillId="0" borderId="6" xfId="0" applyFont="1" applyBorder="1" applyAlignment="1"/>
    <xf numFmtId="0" fontId="3" fillId="0" borderId="7" xfId="0" applyFont="1" applyBorder="1" applyAlignment="1"/>
    <xf numFmtId="0" fontId="0" fillId="0" borderId="7" xfId="0" applyBorder="1" applyAlignment="1"/>
    <xf numFmtId="0" fontId="0" fillId="0" borderId="0" xfId="0" applyAlignment="1">
      <alignment horizontal="right" vertical="center"/>
    </xf>
    <xf numFmtId="0" fontId="2" fillId="0" borderId="8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top" wrapText="1"/>
    </xf>
    <xf numFmtId="0" fontId="0" fillId="0" borderId="4" xfId="0" applyBorder="1" applyAlignme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left" vertical="top"/>
    </xf>
    <xf numFmtId="164" fontId="0" fillId="0" borderId="10" xfId="0" applyNumberFormat="1" applyBorder="1" applyAlignment="1">
      <alignment horizontal="right" vertical="top"/>
    </xf>
    <xf numFmtId="2" fontId="0" fillId="0" borderId="10" xfId="0" applyNumberFormat="1" applyBorder="1" applyAlignment="1">
      <alignment horizontal="right" vertical="top"/>
    </xf>
    <xf numFmtId="0" fontId="0" fillId="0" borderId="3" xfId="0" applyBorder="1" applyAlignment="1">
      <alignment horizontal="left" vertical="top" wrapText="1"/>
    </xf>
    <xf numFmtId="1" fontId="0" fillId="0" borderId="13" xfId="0" applyNumberFormat="1" applyBorder="1" applyAlignment="1">
      <alignment horizontal="right" vertical="top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horizontal="right" vertical="top"/>
    </xf>
    <xf numFmtId="2" fontId="0" fillId="0" borderId="11" xfId="0" applyNumberFormat="1" applyBorder="1" applyAlignment="1">
      <alignment horizontal="right" vertical="top"/>
    </xf>
    <xf numFmtId="2" fontId="0" fillId="0" borderId="12" xfId="0" applyNumberFormat="1" applyBorder="1" applyAlignment="1">
      <alignment horizontal="right" vertical="top"/>
    </xf>
    <xf numFmtId="0" fontId="0" fillId="0" borderId="12" xfId="0" applyBorder="1" applyAlignment="1"/>
    <xf numFmtId="0" fontId="3" fillId="0" borderId="0" xfId="0" applyFont="1" applyAlignment="1"/>
    <xf numFmtId="0" fontId="2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6FD5-56C0-468C-AE58-DAC72272204F}">
  <dimension ref="A1"/>
  <sheetViews>
    <sheetView workbookViewId="0">
      <selection activeCell="M15" sqref="M15"/>
    </sheetView>
  </sheetViews>
  <sheetFormatPr defaultRowHeight="11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E93D-9392-4B76-8B84-9BEA34FFEF13}">
  <dimension ref="A1"/>
  <sheetViews>
    <sheetView workbookViewId="0">
      <selection activeCell="C9" sqref="C9"/>
    </sheetView>
  </sheetViews>
  <sheetFormatPr defaultRowHeight="11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B9F1-9709-4DFF-BB56-1BAB18EC388C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5E91-BFD7-4ABF-9C7A-B8F460B0333F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O47"/>
  <sheetViews>
    <sheetView tabSelected="1" zoomScaleNormal="100" workbookViewId="0">
      <selection activeCell="AT9" sqref="AT9:CP9"/>
    </sheetView>
  </sheetViews>
  <sheetFormatPr defaultColWidth="10.5" defaultRowHeight="11.25" x14ac:dyDescent="0.2"/>
  <cols>
    <col min="1" max="13" width="1.1640625" customWidth="1"/>
    <col min="14" max="14" width="1.5" customWidth="1"/>
    <col min="15" max="17" width="1.1640625" customWidth="1"/>
    <col min="18" max="27" width="1.33203125" customWidth="1"/>
    <col min="28" max="54" width="1.1640625" customWidth="1"/>
    <col min="55" max="55" width="2" customWidth="1"/>
    <col min="56" max="67" width="1.1640625" customWidth="1"/>
    <col min="68" max="68" width="1.83203125" customWidth="1"/>
    <col min="69" max="94" width="1.1640625" customWidth="1"/>
    <col min="95" max="95" width="4.5" customWidth="1"/>
    <col min="96" max="105" width="1.1640625" customWidth="1"/>
    <col min="106" max="112" width="1.5" customWidth="1"/>
    <col min="113" max="113" width="3.5" customWidth="1"/>
    <col min="114" max="133" width="1.1640625" customWidth="1"/>
    <col min="134" max="134" width="3.5" customWidth="1"/>
    <col min="135" max="137" width="1.1640625" customWidth="1"/>
    <col min="138" max="138" width="3.5" customWidth="1"/>
    <col min="139" max="150" width="1.1640625" customWidth="1"/>
    <col min="151" max="151" width="1.83203125" customWidth="1"/>
    <col min="152" max="169" width="1.1640625" customWidth="1"/>
    <col min="170" max="170" width="4.5" customWidth="1"/>
    <col min="171" max="171" width="0.83203125" customWidth="1"/>
  </cols>
  <sheetData>
    <row r="1" spans="1:171" ht="4.1500000000000004" customHeight="1" x14ac:dyDescent="0.2"/>
    <row r="2" spans="1:171" ht="13.9" customHeight="1" x14ac:dyDescent="0.2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1"/>
      <c r="Q2" s="2" t="s">
        <v>1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0">
        <v>701</v>
      </c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1" t="s">
        <v>2</v>
      </c>
      <c r="AQ2" s="31"/>
      <c r="AR2" s="31"/>
      <c r="AS2" s="30" t="s">
        <v>3</v>
      </c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I2" s="26" t="s">
        <v>4</v>
      </c>
      <c r="BJ2" s="26"/>
      <c r="BK2" s="26"/>
      <c r="BL2" s="26"/>
      <c r="BW2" s="3"/>
      <c r="CQ2" s="32" t="s">
        <v>5</v>
      </c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</row>
    <row r="3" spans="1:171" ht="13.9" customHeight="1" x14ac:dyDescent="0.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1"/>
      <c r="Q3" s="2" t="s">
        <v>6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0" t="s">
        <v>7</v>
      </c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1" t="s">
        <v>2</v>
      </c>
      <c r="AQ3" s="31"/>
      <c r="AR3" s="31"/>
      <c r="AS3" s="30" t="s">
        <v>8</v>
      </c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I3" s="26" t="s">
        <v>9</v>
      </c>
      <c r="BJ3" s="26"/>
      <c r="BK3" s="26"/>
      <c r="BL3" s="26"/>
      <c r="BW3" s="3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</row>
    <row r="4" spans="1:171" ht="6" customHeigh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1"/>
    </row>
    <row r="5" spans="1:171" ht="5.25" customHeight="1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1"/>
    </row>
    <row r="6" spans="1:171" ht="19.899999999999999" customHeight="1" x14ac:dyDescent="0.2">
      <c r="P6" s="1"/>
      <c r="Q6" s="2" t="s">
        <v>10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T6" s="25" t="s">
        <v>121</v>
      </c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3" t="s">
        <v>11</v>
      </c>
      <c r="CR6" s="2" t="s">
        <v>12</v>
      </c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6" t="s">
        <v>13</v>
      </c>
      <c r="FM6" s="26"/>
      <c r="FN6" s="26"/>
      <c r="FO6" s="26"/>
    </row>
    <row r="7" spans="1:171" ht="19.899999999999999" customHeight="1" x14ac:dyDescent="0.2">
      <c r="A7" s="27" t="s">
        <v>14</v>
      </c>
      <c r="B7" s="27"/>
      <c r="C7" s="27"/>
      <c r="D7" s="27"/>
      <c r="E7" s="27"/>
      <c r="F7" s="27"/>
      <c r="G7" s="27"/>
      <c r="I7" s="28" t="s">
        <v>15</v>
      </c>
      <c r="J7" s="28"/>
      <c r="K7" s="28"/>
      <c r="P7" s="1"/>
      <c r="Q7" t="s">
        <v>16</v>
      </c>
      <c r="AT7" s="25" t="s">
        <v>124</v>
      </c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3" t="s">
        <v>17</v>
      </c>
      <c r="CR7" t="s">
        <v>16</v>
      </c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6" t="s">
        <v>18</v>
      </c>
      <c r="FM7" s="26"/>
      <c r="FN7" s="26"/>
      <c r="FO7" s="26"/>
    </row>
    <row r="8" spans="1:171" ht="19.899999999999999" customHeight="1" x14ac:dyDescent="0.2">
      <c r="P8" s="1"/>
      <c r="Q8" t="s">
        <v>19</v>
      </c>
      <c r="AT8" s="33" t="s">
        <v>122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" t="s">
        <v>20</v>
      </c>
      <c r="CR8" t="s">
        <v>21</v>
      </c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26" t="s">
        <v>22</v>
      </c>
      <c r="FM8" s="26"/>
      <c r="FN8" s="26"/>
      <c r="FO8" s="26"/>
    </row>
    <row r="9" spans="1:171" ht="19.899999999999999" customHeight="1" x14ac:dyDescent="0.2">
      <c r="A9" s="34" t="s">
        <v>23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4"/>
      <c r="P9" s="1"/>
      <c r="Q9" t="s">
        <v>24</v>
      </c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3" t="s">
        <v>25</v>
      </c>
      <c r="CR9" t="s">
        <v>26</v>
      </c>
      <c r="DS9" s="33" t="s">
        <v>27</v>
      </c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26" t="s">
        <v>28</v>
      </c>
      <c r="FM9" s="26"/>
      <c r="FN9" s="26"/>
      <c r="FO9" s="26"/>
    </row>
    <row r="10" spans="1:171" ht="19.899999999999999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4"/>
      <c r="P10" s="1"/>
      <c r="Q10" t="s">
        <v>29</v>
      </c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3" t="s">
        <v>30</v>
      </c>
      <c r="CR10" s="35" t="s">
        <v>31</v>
      </c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FL10" s="3"/>
      <c r="FM10" s="3"/>
      <c r="FN10" s="3"/>
      <c r="FO10" s="3"/>
    </row>
    <row r="11" spans="1:171" ht="19.899999999999999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P11" s="1"/>
      <c r="Q11" t="s">
        <v>32</v>
      </c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5" t="s">
        <v>33</v>
      </c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</row>
    <row r="12" spans="1:171" ht="19.899999999999999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4"/>
      <c r="P12" s="1"/>
      <c r="Q12" t="s">
        <v>34</v>
      </c>
      <c r="AT12" s="25" t="str">
        <f>"№"&amp;AD2&amp; " от " &amp; AS2</f>
        <v>№701 от 31 Октября 2022 г.</v>
      </c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5" t="s">
        <v>35</v>
      </c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3" t="s">
        <v>36</v>
      </c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26" t="s">
        <v>37</v>
      </c>
      <c r="FM12" s="26"/>
      <c r="FN12" s="26"/>
      <c r="FO12" s="26"/>
    </row>
    <row r="13" spans="1:171" ht="4.1500000000000004" customHeight="1" x14ac:dyDescent="0.2">
      <c r="P13" s="1"/>
    </row>
    <row r="14" spans="1:171" ht="31.15" customHeight="1" x14ac:dyDescent="0.2">
      <c r="A14" s="36" t="s">
        <v>38</v>
      </c>
      <c r="B14" s="36"/>
      <c r="C14" s="36"/>
      <c r="D14" s="36"/>
      <c r="E14" s="36"/>
      <c r="F14" s="36"/>
      <c r="G14" s="36"/>
      <c r="H14" s="36"/>
      <c r="I14" s="36"/>
      <c r="J14" s="36"/>
      <c r="K14" s="37" t="s">
        <v>39</v>
      </c>
      <c r="L14" s="37"/>
      <c r="M14" s="37"/>
      <c r="N14" s="37"/>
      <c r="O14" s="37"/>
      <c r="P14" s="38" t="s">
        <v>40</v>
      </c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7" t="s">
        <v>41</v>
      </c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9" t="s">
        <v>42</v>
      </c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 t="s">
        <v>43</v>
      </c>
      <c r="BQ14" s="39"/>
      <c r="BR14" s="39"/>
      <c r="BS14" s="39"/>
      <c r="BT14" s="39"/>
      <c r="BU14" s="39"/>
      <c r="BV14" s="39"/>
      <c r="BW14" s="39" t="s">
        <v>44</v>
      </c>
      <c r="BX14" s="39"/>
      <c r="BY14" s="39"/>
      <c r="BZ14" s="39"/>
      <c r="CA14" s="39"/>
      <c r="CB14" s="39"/>
      <c r="CC14" s="39"/>
      <c r="CD14" s="39"/>
      <c r="CE14" s="39"/>
      <c r="CF14" s="39" t="s">
        <v>45</v>
      </c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 t="s">
        <v>46</v>
      </c>
      <c r="CS14" s="39"/>
      <c r="CT14" s="39"/>
      <c r="CU14" s="39"/>
      <c r="CV14" s="39"/>
      <c r="CW14" s="39"/>
      <c r="CX14" s="39"/>
      <c r="CY14" s="39"/>
      <c r="CZ14" s="39"/>
      <c r="DA14" s="39"/>
      <c r="DB14" s="39" t="s">
        <v>47</v>
      </c>
      <c r="DC14" s="39"/>
      <c r="DD14" s="39"/>
      <c r="DE14" s="39"/>
      <c r="DF14" s="39"/>
      <c r="DG14" s="39"/>
      <c r="DH14" s="39"/>
      <c r="DI14" s="39" t="s">
        <v>48</v>
      </c>
      <c r="DJ14" s="39"/>
      <c r="DK14" s="39"/>
      <c r="DL14" s="39"/>
      <c r="DM14" s="39"/>
      <c r="DN14" s="39"/>
      <c r="DO14" s="39"/>
      <c r="DP14" s="39"/>
      <c r="DQ14" s="39"/>
      <c r="DR14" s="39"/>
      <c r="DS14" s="39" t="s">
        <v>49</v>
      </c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 t="s">
        <v>50</v>
      </c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 t="s">
        <v>51</v>
      </c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</row>
    <row r="15" spans="1:171" ht="54" customHeight="1" x14ac:dyDescent="0.2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7"/>
      <c r="L15" s="37"/>
      <c r="M15" s="37"/>
      <c r="N15" s="37"/>
      <c r="O15" s="37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40" t="s">
        <v>52</v>
      </c>
      <c r="BD15" s="40"/>
      <c r="BE15" s="40"/>
      <c r="BF15" s="40"/>
      <c r="BG15" s="40" t="s">
        <v>53</v>
      </c>
      <c r="BH15" s="40"/>
      <c r="BI15" s="40"/>
      <c r="BJ15" s="40"/>
      <c r="BK15" s="40"/>
      <c r="BL15" s="40"/>
      <c r="BM15" s="40"/>
      <c r="BN15" s="40"/>
      <c r="BO15" s="40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40" t="s">
        <v>54</v>
      </c>
      <c r="EF15" s="40"/>
      <c r="EG15" s="40"/>
      <c r="EH15" s="40"/>
      <c r="EI15" s="40"/>
      <c r="EJ15" s="39" t="s">
        <v>55</v>
      </c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</row>
    <row r="16" spans="1:171" ht="10.15" customHeight="1" x14ac:dyDescent="0.2">
      <c r="A16" s="41" t="s">
        <v>56</v>
      </c>
      <c r="B16" s="41"/>
      <c r="C16" s="41"/>
      <c r="D16" s="41"/>
      <c r="E16" s="41"/>
      <c r="F16" s="41"/>
      <c r="G16" s="41"/>
      <c r="H16" s="41"/>
      <c r="I16" s="41"/>
      <c r="J16" s="41"/>
      <c r="K16" s="41" t="s">
        <v>15</v>
      </c>
      <c r="L16" s="41"/>
      <c r="M16" s="41"/>
      <c r="N16" s="41"/>
      <c r="O16" s="41"/>
      <c r="P16" s="42" t="s">
        <v>57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3" t="s">
        <v>58</v>
      </c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4" t="s">
        <v>59</v>
      </c>
      <c r="BD16" s="44"/>
      <c r="BE16" s="44"/>
      <c r="BF16" s="44"/>
      <c r="BG16" s="44" t="s">
        <v>60</v>
      </c>
      <c r="BH16" s="44"/>
      <c r="BI16" s="44"/>
      <c r="BJ16" s="44"/>
      <c r="BK16" s="44"/>
      <c r="BL16" s="44"/>
      <c r="BM16" s="44"/>
      <c r="BN16" s="44"/>
      <c r="BO16" s="44"/>
      <c r="BP16" s="44" t="s">
        <v>61</v>
      </c>
      <c r="BQ16" s="44"/>
      <c r="BR16" s="44"/>
      <c r="BS16" s="44"/>
      <c r="BT16" s="44"/>
      <c r="BU16" s="44"/>
      <c r="BV16" s="44"/>
      <c r="BW16" s="44" t="s">
        <v>62</v>
      </c>
      <c r="BX16" s="44"/>
      <c r="BY16" s="44"/>
      <c r="BZ16" s="44"/>
      <c r="CA16" s="44"/>
      <c r="CB16" s="44"/>
      <c r="CC16" s="44"/>
      <c r="CD16" s="44"/>
      <c r="CE16" s="44"/>
      <c r="CF16" s="44" t="s">
        <v>63</v>
      </c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 t="s">
        <v>64</v>
      </c>
      <c r="CS16" s="44"/>
      <c r="CT16" s="44"/>
      <c r="CU16" s="44"/>
      <c r="CV16" s="44"/>
      <c r="CW16" s="44"/>
      <c r="CX16" s="44"/>
      <c r="CY16" s="44"/>
      <c r="CZ16" s="44"/>
      <c r="DA16" s="44"/>
      <c r="DB16" s="44" t="s">
        <v>65</v>
      </c>
      <c r="DC16" s="44"/>
      <c r="DD16" s="44"/>
      <c r="DE16" s="44"/>
      <c r="DF16" s="44"/>
      <c r="DG16" s="44"/>
      <c r="DH16" s="44"/>
      <c r="DI16" s="44" t="s">
        <v>66</v>
      </c>
      <c r="DJ16" s="44"/>
      <c r="DK16" s="44"/>
      <c r="DL16" s="44"/>
      <c r="DM16" s="44"/>
      <c r="DN16" s="44"/>
      <c r="DO16" s="44"/>
      <c r="DP16" s="44"/>
      <c r="DQ16" s="44"/>
      <c r="DR16" s="44"/>
      <c r="DS16" s="44" t="s">
        <v>67</v>
      </c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 t="s">
        <v>68</v>
      </c>
      <c r="EF16" s="44"/>
      <c r="EG16" s="44"/>
      <c r="EH16" s="44"/>
      <c r="EI16" s="44"/>
      <c r="EJ16" s="44" t="s">
        <v>69</v>
      </c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 t="s">
        <v>70</v>
      </c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</row>
    <row r="17" spans="1:171" ht="48" customHeight="1" x14ac:dyDescent="0.2">
      <c r="A17" s="48">
        <v>1</v>
      </c>
      <c r="B17" s="48"/>
      <c r="C17" s="48"/>
      <c r="D17" s="48"/>
      <c r="E17" s="48"/>
      <c r="F17" s="48"/>
      <c r="G17" s="48"/>
      <c r="H17" s="48"/>
      <c r="I17" s="48"/>
      <c r="J17" s="48"/>
      <c r="K17" s="49">
        <v>1</v>
      </c>
      <c r="L17" s="49">
        <v>1</v>
      </c>
      <c r="M17" s="49">
        <v>1</v>
      </c>
      <c r="N17" s="49">
        <v>1</v>
      </c>
      <c r="O17" s="49">
        <v>1</v>
      </c>
      <c r="P17" s="50" t="s">
        <v>117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1" t="s">
        <v>8</v>
      </c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45" t="s">
        <v>71</v>
      </c>
      <c r="BD17" s="45"/>
      <c r="BE17" s="45"/>
      <c r="BF17" s="45"/>
      <c r="BG17" s="45" t="s">
        <v>72</v>
      </c>
      <c r="BH17" s="45"/>
      <c r="BI17" s="45"/>
      <c r="BJ17" s="45"/>
      <c r="BK17" s="45"/>
      <c r="BL17" s="45"/>
      <c r="BM17" s="45"/>
      <c r="BN17" s="45"/>
      <c r="BO17" s="45"/>
      <c r="BP17" s="46"/>
      <c r="BQ17" s="46"/>
      <c r="BR17" s="46"/>
      <c r="BS17" s="46"/>
      <c r="BT17" s="46"/>
      <c r="BU17" s="46"/>
      <c r="BV17" s="46"/>
      <c r="BW17" s="47"/>
      <c r="BX17" s="47"/>
      <c r="BY17" s="47"/>
      <c r="BZ17" s="47"/>
      <c r="CA17" s="47"/>
      <c r="CB17" s="47"/>
      <c r="CC17" s="47"/>
      <c r="CD17" s="47"/>
      <c r="CE17" s="47"/>
      <c r="CF17" s="47">
        <f>DS17-DI17</f>
        <v>0</v>
      </c>
      <c r="CG17" s="47">
        <v>248795.83</v>
      </c>
      <c r="CH17" s="47">
        <v>248795.83</v>
      </c>
      <c r="CI17" s="47">
        <v>248795.83</v>
      </c>
      <c r="CJ17" s="47">
        <v>248795.83</v>
      </c>
      <c r="CK17" s="47">
        <v>248795.83</v>
      </c>
      <c r="CL17" s="47">
        <v>248795.83</v>
      </c>
      <c r="CM17" s="47">
        <v>248795.83</v>
      </c>
      <c r="CN17" s="47">
        <v>248795.83</v>
      </c>
      <c r="CO17" s="47">
        <v>248795.83</v>
      </c>
      <c r="CP17" s="47">
        <v>248795.83</v>
      </c>
      <c r="CQ17" s="47">
        <v>248795.83</v>
      </c>
      <c r="CR17" s="52" t="s">
        <v>73</v>
      </c>
      <c r="CS17" s="52"/>
      <c r="CT17" s="52"/>
      <c r="CU17" s="52"/>
      <c r="CV17" s="52"/>
      <c r="CW17" s="52"/>
      <c r="CX17" s="52"/>
      <c r="CY17" s="52"/>
      <c r="CZ17" s="52"/>
      <c r="DA17" s="52"/>
      <c r="DB17" s="45" t="s">
        <v>74</v>
      </c>
      <c r="DC17" s="45"/>
      <c r="DD17" s="45"/>
      <c r="DE17" s="45"/>
      <c r="DF17" s="45"/>
      <c r="DG17" s="45"/>
      <c r="DH17" s="45"/>
      <c r="DI17" s="47">
        <f>0.2*DS17</f>
        <v>0</v>
      </c>
      <c r="DJ17" s="47">
        <v>49759.17</v>
      </c>
      <c r="DK17" s="47">
        <v>49759.17</v>
      </c>
      <c r="DL17" s="47">
        <v>49759.17</v>
      </c>
      <c r="DM17" s="47">
        <v>49759.17</v>
      </c>
      <c r="DN17" s="47">
        <v>49759.17</v>
      </c>
      <c r="DO17" s="47">
        <v>49759.17</v>
      </c>
      <c r="DP17" s="47">
        <v>49759.17</v>
      </c>
      <c r="DQ17" s="47">
        <v>49759.17</v>
      </c>
      <c r="DR17" s="47">
        <v>49759.17</v>
      </c>
      <c r="DS17" s="47"/>
      <c r="DT17" s="47">
        <v>298555</v>
      </c>
      <c r="DU17" s="47">
        <v>298555</v>
      </c>
      <c r="DV17" s="47">
        <v>298555</v>
      </c>
      <c r="DW17" s="47">
        <v>298555</v>
      </c>
      <c r="DX17" s="47">
        <v>298555</v>
      </c>
      <c r="DY17" s="47">
        <v>298555</v>
      </c>
      <c r="DZ17" s="47">
        <v>298555</v>
      </c>
      <c r="EA17" s="47">
        <v>298555</v>
      </c>
      <c r="EB17" s="47">
        <v>298555</v>
      </c>
      <c r="EC17" s="47">
        <v>298555</v>
      </c>
      <c r="ED17" s="47">
        <v>298555</v>
      </c>
      <c r="EE17" s="45" t="s">
        <v>8</v>
      </c>
      <c r="EF17" s="45"/>
      <c r="EG17" s="45"/>
      <c r="EH17" s="45"/>
      <c r="EI17" s="45"/>
      <c r="EJ17" s="45" t="s">
        <v>8</v>
      </c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 t="s">
        <v>8</v>
      </c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</row>
    <row r="18" spans="1:171" ht="58.15" customHeight="1" x14ac:dyDescent="0.2">
      <c r="A18" s="48">
        <v>2</v>
      </c>
      <c r="B18" s="48"/>
      <c r="C18" s="48"/>
      <c r="D18" s="48"/>
      <c r="E18" s="48"/>
      <c r="F18" s="48"/>
      <c r="G18" s="48"/>
      <c r="H18" s="48"/>
      <c r="I18" s="48"/>
      <c r="J18" s="48"/>
      <c r="K18" s="49">
        <v>2</v>
      </c>
      <c r="L18" s="49">
        <v>2</v>
      </c>
      <c r="M18" s="49">
        <v>2</v>
      </c>
      <c r="N18" s="49">
        <v>2</v>
      </c>
      <c r="O18" s="49">
        <v>2</v>
      </c>
      <c r="P18" s="50" t="s">
        <v>120</v>
      </c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1" t="s">
        <v>8</v>
      </c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45" t="s">
        <v>71</v>
      </c>
      <c r="BD18" s="45"/>
      <c r="BE18" s="45"/>
      <c r="BF18" s="45"/>
      <c r="BG18" s="45" t="s">
        <v>72</v>
      </c>
      <c r="BH18" s="45"/>
      <c r="BI18" s="45"/>
      <c r="BJ18" s="45"/>
      <c r="BK18" s="45"/>
      <c r="BL18" s="45"/>
      <c r="BM18" s="45"/>
      <c r="BN18" s="45"/>
      <c r="BO18" s="45"/>
      <c r="BP18" s="46">
        <f>BP17</f>
        <v>0</v>
      </c>
      <c r="BQ18" s="46"/>
      <c r="BR18" s="46"/>
      <c r="BS18" s="46"/>
      <c r="BT18" s="46"/>
      <c r="BU18" s="46"/>
      <c r="BV18" s="46"/>
      <c r="BW18" s="47"/>
      <c r="BX18" s="47">
        <v>241.67</v>
      </c>
      <c r="BY18" s="47">
        <v>241.67</v>
      </c>
      <c r="BZ18" s="47">
        <v>241.67</v>
      </c>
      <c r="CA18" s="47">
        <v>241.67</v>
      </c>
      <c r="CB18" s="47">
        <v>241.67</v>
      </c>
      <c r="CC18" s="47">
        <v>241.67</v>
      </c>
      <c r="CD18" s="47">
        <v>241.67</v>
      </c>
      <c r="CE18" s="47">
        <v>241.67</v>
      </c>
      <c r="CF18" s="47">
        <f>DS18+DI18</f>
        <v>0</v>
      </c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52" t="s">
        <v>73</v>
      </c>
      <c r="CS18" s="52"/>
      <c r="CT18" s="52"/>
      <c r="CU18" s="52"/>
      <c r="CV18" s="52"/>
      <c r="CW18" s="52"/>
      <c r="CX18" s="52"/>
      <c r="CY18" s="52"/>
      <c r="CZ18" s="52"/>
      <c r="DA18" s="52"/>
      <c r="DB18" s="45" t="s">
        <v>118</v>
      </c>
      <c r="DC18" s="45"/>
      <c r="DD18" s="45"/>
      <c r="DE18" s="45"/>
      <c r="DF18" s="45"/>
      <c r="DG18" s="45"/>
      <c r="DH18" s="45"/>
      <c r="DI18" s="47">
        <v>0</v>
      </c>
      <c r="DJ18" s="47">
        <v>3770</v>
      </c>
      <c r="DK18" s="47">
        <v>3770</v>
      </c>
      <c r="DL18" s="47">
        <v>3770</v>
      </c>
      <c r="DM18" s="47">
        <v>3770</v>
      </c>
      <c r="DN18" s="47">
        <v>3770</v>
      </c>
      <c r="DO18" s="47">
        <v>3770</v>
      </c>
      <c r="DP18" s="47">
        <v>3770</v>
      </c>
      <c r="DQ18" s="47">
        <v>3770</v>
      </c>
      <c r="DR18" s="47">
        <v>3770</v>
      </c>
      <c r="DS18" s="47"/>
      <c r="DT18" s="47">
        <v>298555</v>
      </c>
      <c r="DU18" s="47">
        <v>298555</v>
      </c>
      <c r="DV18" s="47">
        <v>298555</v>
      </c>
      <c r="DW18" s="47">
        <v>298555</v>
      </c>
      <c r="DX18" s="47">
        <v>298555</v>
      </c>
      <c r="DY18" s="47">
        <v>298555</v>
      </c>
      <c r="DZ18" s="47">
        <v>298555</v>
      </c>
      <c r="EA18" s="47">
        <v>298555</v>
      </c>
      <c r="EB18" s="47">
        <v>298555</v>
      </c>
      <c r="EC18" s="47">
        <v>298555</v>
      </c>
      <c r="ED18" s="47">
        <v>298555</v>
      </c>
      <c r="EE18" s="45" t="s">
        <v>8</v>
      </c>
      <c r="EF18" s="45"/>
      <c r="EG18" s="45"/>
      <c r="EH18" s="45"/>
      <c r="EI18" s="45"/>
      <c r="EJ18" s="45" t="s">
        <v>8</v>
      </c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 t="s">
        <v>8</v>
      </c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</row>
    <row r="19" spans="1:171" ht="10.15" customHeight="1" x14ac:dyDescent="0.2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  <c r="Q19" s="9" t="s">
        <v>75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9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53">
        <f>CF17+CF18</f>
        <v>0</v>
      </c>
      <c r="CG19" s="53">
        <v>396954.17</v>
      </c>
      <c r="CH19" s="53">
        <v>396954.17</v>
      </c>
      <c r="CI19" s="53">
        <v>396954.17</v>
      </c>
      <c r="CJ19" s="53">
        <v>396954.17</v>
      </c>
      <c r="CK19" s="53">
        <v>396954.17</v>
      </c>
      <c r="CL19" s="53">
        <v>396954.17</v>
      </c>
      <c r="CM19" s="53">
        <v>396954.17</v>
      </c>
      <c r="CN19" s="53">
        <v>396954.17</v>
      </c>
      <c r="CO19" s="53">
        <v>396954.17</v>
      </c>
      <c r="CP19" s="53">
        <v>396954.17</v>
      </c>
      <c r="CQ19" s="53">
        <v>396954.17</v>
      </c>
      <c r="CR19" s="44" t="s">
        <v>76</v>
      </c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54">
        <f>DI17+DI18</f>
        <v>0</v>
      </c>
      <c r="DJ19" s="54">
        <v>79390.83</v>
      </c>
      <c r="DK19" s="54">
        <v>79390.83</v>
      </c>
      <c r="DL19" s="54">
        <v>79390.83</v>
      </c>
      <c r="DM19" s="54">
        <v>79390.83</v>
      </c>
      <c r="DN19" s="54">
        <v>79390.83</v>
      </c>
      <c r="DO19" s="54">
        <v>79390.83</v>
      </c>
      <c r="DP19" s="54">
        <v>79390.83</v>
      </c>
      <c r="DQ19" s="54">
        <v>79390.83</v>
      </c>
      <c r="DR19" s="54">
        <v>79390.83</v>
      </c>
      <c r="DS19" s="54">
        <f>DS17+DS18</f>
        <v>0</v>
      </c>
      <c r="DT19" s="54">
        <v>476345</v>
      </c>
      <c r="DU19" s="54">
        <v>476345</v>
      </c>
      <c r="DV19" s="54">
        <v>476345</v>
      </c>
      <c r="DW19" s="54">
        <v>476345</v>
      </c>
      <c r="DX19" s="54">
        <v>476345</v>
      </c>
      <c r="DY19" s="54">
        <v>476345</v>
      </c>
      <c r="DZ19" s="54">
        <v>476345</v>
      </c>
      <c r="EA19" s="54">
        <v>476345</v>
      </c>
      <c r="EB19" s="54">
        <v>476345</v>
      </c>
      <c r="EC19" s="54">
        <v>476345</v>
      </c>
      <c r="ED19" s="54">
        <v>476345</v>
      </c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</row>
    <row r="20" spans="1:171" ht="4.1500000000000004" customHeight="1" x14ac:dyDescent="0.2">
      <c r="P20" s="1"/>
    </row>
    <row r="21" spans="1:171" ht="4.9000000000000004" customHeight="1" x14ac:dyDescent="0.2">
      <c r="A21" s="35" t="s">
        <v>77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P21" s="1"/>
      <c r="Q21" s="35" t="s">
        <v>78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U21" s="59" t="s">
        <v>79</v>
      </c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X21" s="35" t="s">
        <v>80</v>
      </c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M21" s="59" t="s">
        <v>79</v>
      </c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</row>
    <row r="22" spans="1:171" ht="15" customHeight="1" x14ac:dyDescent="0.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P22" s="1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</row>
    <row r="23" spans="1:171" ht="17.45" customHeight="1" x14ac:dyDescent="0.2">
      <c r="A23" s="61">
        <v>1</v>
      </c>
      <c r="B23" s="61"/>
      <c r="C23" s="61"/>
      <c r="D23" s="61"/>
      <c r="E23" s="61"/>
      <c r="F23" s="61"/>
      <c r="H23" s="59" t="s">
        <v>116</v>
      </c>
      <c r="I23" s="59"/>
      <c r="J23" s="59"/>
      <c r="K23" s="59"/>
      <c r="L23" s="59"/>
      <c r="M23" s="59"/>
      <c r="N23" s="59"/>
      <c r="O23" s="10"/>
      <c r="P23" s="11"/>
      <c r="Q23" s="35" t="s">
        <v>81</v>
      </c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10"/>
      <c r="AR23" s="62" t="s">
        <v>82</v>
      </c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10"/>
      <c r="BU23" s="63" t="s">
        <v>83</v>
      </c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63" t="s">
        <v>82</v>
      </c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M23" s="63" t="s">
        <v>83</v>
      </c>
      <c r="EN23" s="63"/>
      <c r="EO23" s="63"/>
      <c r="EP23" s="63"/>
      <c r="EQ23" s="63"/>
      <c r="ER23" s="63"/>
      <c r="ES23" s="63"/>
      <c r="ET23" s="63"/>
      <c r="EU23" s="63"/>
      <c r="EV23" s="63"/>
      <c r="EW23" s="63"/>
      <c r="EX23" s="63"/>
      <c r="EY23" s="63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  <c r="FM23" s="63"/>
      <c r="FN23" s="63"/>
      <c r="FO23" s="10"/>
    </row>
    <row r="24" spans="1:171" ht="13.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10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10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10"/>
      <c r="CV24" s="10"/>
      <c r="CW24" s="10"/>
      <c r="CX24" s="10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10"/>
    </row>
    <row r="25" spans="1:171" ht="9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3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57" t="s">
        <v>82</v>
      </c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15"/>
      <c r="BU25" s="58" t="s">
        <v>83</v>
      </c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15"/>
      <c r="CV25" s="15"/>
      <c r="CW25" s="15"/>
      <c r="CX25" s="15"/>
      <c r="CY25" s="58" t="s">
        <v>84</v>
      </c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10"/>
    </row>
    <row r="26" spans="1:171" ht="4.1500000000000004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</row>
    <row r="27" spans="1:171" ht="10.15" customHeight="1" x14ac:dyDescent="0.2">
      <c r="A27" t="s">
        <v>85</v>
      </c>
      <c r="AR27" s="59" t="s">
        <v>119</v>
      </c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60" t="s">
        <v>86</v>
      </c>
      <c r="FK27" s="60"/>
      <c r="FL27" s="60"/>
      <c r="FM27" s="60"/>
      <c r="FN27" s="60"/>
    </row>
    <row r="28" spans="1:171" ht="9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64" t="s">
        <v>87</v>
      </c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16"/>
      <c r="FK28" s="16"/>
      <c r="FL28" s="16"/>
      <c r="FM28" s="16"/>
      <c r="FN28" s="16"/>
    </row>
    <row r="29" spans="1:171" ht="10.15" customHeight="1" x14ac:dyDescent="0.2">
      <c r="A29" t="s">
        <v>88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8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60" t="s">
        <v>89</v>
      </c>
      <c r="FK29" s="60"/>
      <c r="FL29" s="60"/>
      <c r="FM29" s="60"/>
      <c r="FN29" s="60"/>
    </row>
    <row r="30" spans="1:171" ht="9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AA30" s="64" t="s">
        <v>90</v>
      </c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19"/>
      <c r="FK30" s="19"/>
      <c r="FL30" s="19"/>
      <c r="FM30" s="19"/>
      <c r="FN30" s="19"/>
    </row>
    <row r="31" spans="1:171" ht="4.1500000000000004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9"/>
      <c r="FK31" s="19"/>
      <c r="FL31" s="19"/>
      <c r="FM31" s="19"/>
      <c r="FN31" s="19"/>
    </row>
    <row r="32" spans="1:171" ht="10.5" customHeight="1" x14ac:dyDescent="0.2">
      <c r="A32" s="20" t="s">
        <v>91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BB32" s="20"/>
      <c r="BC32" s="20"/>
      <c r="BD32" s="20"/>
      <c r="BE32" s="20"/>
      <c r="BF32" s="20"/>
      <c r="BG32" s="20"/>
      <c r="CL32" s="1"/>
      <c r="CM32" s="65" t="s">
        <v>92</v>
      </c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20"/>
      <c r="EK32" s="20"/>
      <c r="EL32" s="20"/>
      <c r="EM32" s="20"/>
      <c r="FJ32" s="19"/>
      <c r="FK32" s="19"/>
      <c r="FL32" s="19"/>
      <c r="FM32" s="19"/>
      <c r="FN32" s="19"/>
    </row>
    <row r="33" spans="1:171" ht="10.15" customHeight="1" x14ac:dyDescent="0.2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21"/>
      <c r="CH33" s="66" t="s">
        <v>93</v>
      </c>
      <c r="CI33" s="66"/>
      <c r="CJ33" s="66"/>
      <c r="CL33" s="1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J33" s="60" t="s">
        <v>94</v>
      </c>
      <c r="FK33" s="60"/>
      <c r="FL33" s="60"/>
      <c r="FM33" s="60"/>
      <c r="FN33" s="60"/>
    </row>
    <row r="34" spans="1:171" ht="9" customHeight="1" x14ac:dyDescent="0.2">
      <c r="A34" s="63" t="s">
        <v>95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Z34" s="63" t="s">
        <v>82</v>
      </c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I34" s="63" t="s">
        <v>83</v>
      </c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22"/>
      <c r="CH34" s="66"/>
      <c r="CI34" s="66"/>
      <c r="CJ34" s="66"/>
      <c r="CK34" s="12"/>
      <c r="CL34" s="23"/>
      <c r="CM34" s="63" t="s">
        <v>95</v>
      </c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L34" s="63" t="s">
        <v>82</v>
      </c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K34" s="63" t="s">
        <v>83</v>
      </c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J34" s="16"/>
      <c r="FK34" s="16"/>
      <c r="FL34" s="16"/>
      <c r="FM34" s="16"/>
      <c r="FN34" s="16"/>
    </row>
    <row r="35" spans="1:171" ht="4.1500000000000004" customHeight="1" x14ac:dyDescent="0.2">
      <c r="CF35" s="21"/>
      <c r="CG35" s="21"/>
      <c r="CH35" s="21"/>
      <c r="CI35" s="21"/>
      <c r="CJ35" s="21"/>
      <c r="CL35" s="1"/>
      <c r="FJ35" s="16"/>
      <c r="FK35" s="16"/>
      <c r="FL35" s="16"/>
      <c r="FM35" s="16"/>
      <c r="FN35" s="16"/>
    </row>
    <row r="36" spans="1:171" ht="10.15" customHeight="1" x14ac:dyDescent="0.2">
      <c r="A36" t="s">
        <v>96</v>
      </c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CG36" s="21"/>
      <c r="CH36" s="66" t="s">
        <v>97</v>
      </c>
      <c r="CI36" s="66"/>
      <c r="CJ36" s="66"/>
      <c r="CL36" s="1"/>
      <c r="CM36" t="s">
        <v>98</v>
      </c>
      <c r="DL36" s="33" t="s">
        <v>99</v>
      </c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FJ36" s="60" t="s">
        <v>100</v>
      </c>
      <c r="FK36" s="60"/>
      <c r="FL36" s="60"/>
      <c r="FM36" s="60"/>
      <c r="FN36" s="60"/>
    </row>
    <row r="37" spans="1:171" ht="4.1500000000000004" customHeight="1" x14ac:dyDescent="0.2">
      <c r="CF37" s="21"/>
      <c r="CG37" s="21"/>
      <c r="CH37" s="21"/>
      <c r="CI37" s="21"/>
      <c r="CJ37" s="21"/>
      <c r="CL37" s="1"/>
      <c r="FJ37" s="16"/>
      <c r="FK37" s="16"/>
      <c r="FL37" s="16"/>
      <c r="FM37" s="16"/>
      <c r="FN37" s="16"/>
    </row>
    <row r="38" spans="1:171" ht="10.5" customHeight="1" x14ac:dyDescent="0.2">
      <c r="A38" s="20" t="s">
        <v>101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BB38" s="20"/>
      <c r="BC38" s="20"/>
      <c r="BD38" s="20"/>
      <c r="BE38" s="20"/>
      <c r="BF38" s="20"/>
      <c r="BG38" s="20"/>
      <c r="CF38" s="21"/>
      <c r="CG38" s="21"/>
      <c r="CH38" s="21"/>
      <c r="CI38" s="21"/>
      <c r="CJ38" s="21"/>
      <c r="CL38" s="1"/>
      <c r="CM38" s="65" t="s">
        <v>102</v>
      </c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FJ38" s="16"/>
      <c r="FK38" s="16"/>
      <c r="FL38" s="16"/>
      <c r="FM38" s="16"/>
      <c r="FN38" s="16"/>
    </row>
    <row r="39" spans="1:171" ht="10.15" customHeight="1" x14ac:dyDescent="0.2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22"/>
      <c r="CH39" s="66" t="s">
        <v>103</v>
      </c>
      <c r="CI39" s="66"/>
      <c r="CJ39" s="66"/>
      <c r="CK39" s="10"/>
      <c r="CL39" s="11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D39" s="67"/>
      <c r="EE39" s="67"/>
      <c r="EF39" s="67"/>
      <c r="EG39" s="67"/>
      <c r="EH39" s="67"/>
      <c r="EI39" s="67"/>
      <c r="EJ39" s="67"/>
      <c r="EK39" s="67"/>
      <c r="EL39" s="67"/>
      <c r="EM39" s="67"/>
      <c r="EN39" s="67"/>
      <c r="EO39" s="67"/>
      <c r="EP39" s="67"/>
      <c r="EQ39" s="67"/>
      <c r="ER39" s="67"/>
      <c r="ES39" s="67"/>
      <c r="ET39" s="67"/>
      <c r="EU39" s="67"/>
      <c r="EV39" s="67"/>
      <c r="EW39" s="67"/>
      <c r="EX39" s="67"/>
      <c r="EY39" s="67"/>
      <c r="EZ39" s="67"/>
      <c r="FA39" s="67"/>
      <c r="FB39" s="67"/>
      <c r="FC39" s="67"/>
      <c r="FD39" s="67"/>
      <c r="FE39" s="67"/>
      <c r="FF39" s="67"/>
      <c r="FG39" s="67"/>
      <c r="FH39" s="67"/>
      <c r="FJ39" s="60" t="s">
        <v>104</v>
      </c>
      <c r="FK39" s="60"/>
      <c r="FL39" s="60"/>
      <c r="FM39" s="60"/>
      <c r="FN39" s="60"/>
    </row>
    <row r="40" spans="1:171" ht="10.15" customHeight="1" x14ac:dyDescent="0.2">
      <c r="A40" s="63" t="s">
        <v>105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22"/>
      <c r="CH40" s="22"/>
      <c r="CI40" s="22"/>
      <c r="CJ40" s="22"/>
      <c r="CK40" s="12"/>
      <c r="CL40" s="23"/>
      <c r="CM40" s="63" t="s">
        <v>106</v>
      </c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  <c r="EX40" s="63"/>
      <c r="EY40" s="63"/>
      <c r="EZ40" s="63"/>
      <c r="FA40" s="63"/>
      <c r="FB40" s="63"/>
      <c r="FC40" s="63"/>
      <c r="FD40" s="63"/>
      <c r="FE40" s="63"/>
      <c r="FF40" s="63"/>
      <c r="FG40" s="63"/>
      <c r="FH40" s="63"/>
      <c r="FJ40" s="16"/>
      <c r="FK40" s="16"/>
      <c r="FL40" s="16"/>
      <c r="FM40" s="16"/>
      <c r="FN40" s="16"/>
    </row>
    <row r="41" spans="1:171" ht="10.5" customHeight="1" x14ac:dyDescent="0.2">
      <c r="A41" s="20" t="s">
        <v>107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1"/>
      <c r="CH41" s="21"/>
      <c r="CI41" s="21"/>
      <c r="CJ41" s="21"/>
      <c r="CL41" s="1"/>
      <c r="CM41" s="65" t="s">
        <v>107</v>
      </c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J41" s="16"/>
      <c r="FK41" s="16"/>
      <c r="FL41" s="16"/>
      <c r="FM41" s="16"/>
      <c r="FN41" s="16"/>
    </row>
    <row r="42" spans="1:171" ht="10.15" customHeight="1" x14ac:dyDescent="0.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21"/>
      <c r="CH42" s="66" t="s">
        <v>108</v>
      </c>
      <c r="CI42" s="66"/>
      <c r="CJ42" s="66"/>
      <c r="CL42" s="1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J42" s="60" t="s">
        <v>109</v>
      </c>
      <c r="FK42" s="60"/>
      <c r="FL42" s="60"/>
      <c r="FM42" s="60"/>
      <c r="FN42" s="60"/>
    </row>
    <row r="43" spans="1:171" ht="9" customHeight="1" x14ac:dyDescent="0.2">
      <c r="A43" s="63" t="s">
        <v>95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Z43" s="63" t="s">
        <v>82</v>
      </c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I43" s="63" t="s">
        <v>83</v>
      </c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22"/>
      <c r="CH43" s="22"/>
      <c r="CI43" s="22"/>
      <c r="CJ43" s="22"/>
      <c r="CK43" s="12"/>
      <c r="CL43" s="23"/>
      <c r="CM43" s="63" t="s">
        <v>95</v>
      </c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L43" s="63" t="s">
        <v>82</v>
      </c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K43" s="63" t="s">
        <v>83</v>
      </c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17"/>
      <c r="FJ43" s="16"/>
      <c r="FK43" s="16"/>
      <c r="FL43" s="16"/>
      <c r="FM43" s="16"/>
      <c r="FN43" s="16"/>
    </row>
    <row r="44" spans="1:171" ht="10.5" customHeight="1" x14ac:dyDescent="0.2">
      <c r="A44" s="20" t="s">
        <v>110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1"/>
      <c r="CH44" s="21"/>
      <c r="CI44" s="21"/>
      <c r="CJ44" s="21"/>
      <c r="CK44" s="20"/>
      <c r="CL44" s="24"/>
      <c r="CM44" s="65" t="s">
        <v>111</v>
      </c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FJ44" s="16"/>
      <c r="FK44" s="16"/>
      <c r="FL44" s="16"/>
      <c r="FM44" s="16"/>
      <c r="FN44" s="16"/>
    </row>
    <row r="45" spans="1:171" ht="19.899999999999999" customHeight="1" x14ac:dyDescent="0.2">
      <c r="A45" s="35" t="s">
        <v>123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21"/>
      <c r="CH45" s="66" t="s">
        <v>112</v>
      </c>
      <c r="CI45" s="66"/>
      <c r="CJ45" s="66"/>
      <c r="CL45" s="1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60" t="s">
        <v>113</v>
      </c>
      <c r="FK45" s="60"/>
      <c r="FL45" s="60"/>
      <c r="FM45" s="60"/>
      <c r="FN45" s="60"/>
    </row>
    <row r="46" spans="1:171" ht="9" customHeight="1" x14ac:dyDescent="0.2">
      <c r="A46" s="63" t="s">
        <v>114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12"/>
      <c r="CH46" s="12"/>
      <c r="CI46" s="12"/>
      <c r="CJ46" s="12"/>
      <c r="CK46" s="12"/>
      <c r="CL46" s="23"/>
      <c r="CM46" s="63" t="s">
        <v>114</v>
      </c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3"/>
      <c r="EK46" s="63"/>
      <c r="EL46" s="63"/>
      <c r="EM46" s="63"/>
      <c r="EN46" s="63"/>
      <c r="EO46" s="63"/>
      <c r="EP46" s="63"/>
      <c r="EQ46" s="63"/>
      <c r="ER46" s="63"/>
      <c r="ES46" s="63"/>
      <c r="ET46" s="63"/>
      <c r="EU46" s="63"/>
      <c r="EV46" s="63"/>
      <c r="EW46" s="63"/>
      <c r="EX46" s="63"/>
      <c r="EY46" s="63"/>
      <c r="EZ46" s="63"/>
      <c r="FA46" s="63"/>
      <c r="FB46" s="63"/>
      <c r="FC46" s="63"/>
      <c r="FD46" s="63"/>
      <c r="FE46" s="63"/>
      <c r="FF46" s="63"/>
      <c r="FG46" s="63"/>
      <c r="FH46" s="63"/>
      <c r="FI46" s="63"/>
      <c r="FJ46" s="10"/>
      <c r="FK46" s="10"/>
      <c r="FL46" s="10"/>
      <c r="FM46" s="10"/>
      <c r="FN46" s="10"/>
      <c r="FO46" s="10"/>
    </row>
    <row r="47" spans="1:171" ht="10.15" customHeight="1" x14ac:dyDescent="0.2">
      <c r="A47" s="66" t="s">
        <v>115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21"/>
      <c r="Z47" s="21"/>
      <c r="AA47" s="21"/>
      <c r="AB47" s="21"/>
      <c r="AC47" s="21"/>
      <c r="AD47" s="21"/>
      <c r="AE47" s="21"/>
      <c r="CL47" s="1"/>
      <c r="CM47" s="66" t="s">
        <v>115</v>
      </c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21"/>
      <c r="DL47" s="21"/>
      <c r="DM47" s="21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</row>
  </sheetData>
  <mergeCells count="178">
    <mergeCell ref="A47:X47"/>
    <mergeCell ref="CM47:DJ47"/>
    <mergeCell ref="CM44:EI44"/>
    <mergeCell ref="A45:CF45"/>
    <mergeCell ref="CH45:CJ45"/>
    <mergeCell ref="CM45:FI45"/>
    <mergeCell ref="FJ45:FN45"/>
    <mergeCell ref="A46:CF46"/>
    <mergeCell ref="CM46:FI46"/>
    <mergeCell ref="FJ42:FN42"/>
    <mergeCell ref="A43:X43"/>
    <mergeCell ref="Z43:BG43"/>
    <mergeCell ref="BI43:CF43"/>
    <mergeCell ref="CM43:DJ43"/>
    <mergeCell ref="DL43:EI43"/>
    <mergeCell ref="EK43:FH43"/>
    <mergeCell ref="A40:CF40"/>
    <mergeCell ref="CM40:FH40"/>
    <mergeCell ref="CM41:FH41"/>
    <mergeCell ref="A42:X42"/>
    <mergeCell ref="Z42:BG42"/>
    <mergeCell ref="BI42:CF42"/>
    <mergeCell ref="CH42:CJ42"/>
    <mergeCell ref="CM42:DJ42"/>
    <mergeCell ref="DL42:EI42"/>
    <mergeCell ref="EK42:FH42"/>
    <mergeCell ref="Z36:BG36"/>
    <mergeCell ref="CH36:CJ36"/>
    <mergeCell ref="DL36:EI36"/>
    <mergeCell ref="FJ36:FN36"/>
    <mergeCell ref="CM38:EI38"/>
    <mergeCell ref="A39:CF39"/>
    <mergeCell ref="CH39:CJ39"/>
    <mergeCell ref="CM39:FH39"/>
    <mergeCell ref="FJ39:FN39"/>
    <mergeCell ref="AR28:FI28"/>
    <mergeCell ref="AA29:FI29"/>
    <mergeCell ref="FJ29:FN29"/>
    <mergeCell ref="AA30:FI30"/>
    <mergeCell ref="CM32:EI32"/>
    <mergeCell ref="A33:X33"/>
    <mergeCell ref="Z33:BG33"/>
    <mergeCell ref="BI33:CF33"/>
    <mergeCell ref="CH33:CJ34"/>
    <mergeCell ref="CM33:DJ33"/>
    <mergeCell ref="DL33:EI33"/>
    <mergeCell ref="EK33:FH33"/>
    <mergeCell ref="FJ33:FN33"/>
    <mergeCell ref="A34:X34"/>
    <mergeCell ref="Z34:BG34"/>
    <mergeCell ref="BI34:CF34"/>
    <mergeCell ref="CM34:DJ34"/>
    <mergeCell ref="DL34:EI34"/>
    <mergeCell ref="EK34:FH34"/>
    <mergeCell ref="CY24:FN24"/>
    <mergeCell ref="AR25:BS25"/>
    <mergeCell ref="BU25:CT25"/>
    <mergeCell ref="CY25:FN25"/>
    <mergeCell ref="AR27:FI27"/>
    <mergeCell ref="FJ27:FN27"/>
    <mergeCell ref="EM21:FN22"/>
    <mergeCell ref="A23:F23"/>
    <mergeCell ref="H23:N23"/>
    <mergeCell ref="Q23:AP24"/>
    <mergeCell ref="AR23:BS23"/>
    <mergeCell ref="BU23:CT23"/>
    <mergeCell ref="DU23:EK23"/>
    <mergeCell ref="EM23:FN23"/>
    <mergeCell ref="AR24:BS24"/>
    <mergeCell ref="BU24:CT24"/>
    <mergeCell ref="A21:N22"/>
    <mergeCell ref="Q21:AP22"/>
    <mergeCell ref="AR21:BS22"/>
    <mergeCell ref="BU21:CT22"/>
    <mergeCell ref="CX21:DR22"/>
    <mergeCell ref="DU21:EK22"/>
    <mergeCell ref="BP17:BV17"/>
    <mergeCell ref="BW17:CE17"/>
    <mergeCell ref="CF17:CQ17"/>
    <mergeCell ref="CR17:DA17"/>
    <mergeCell ref="DS18:ED18"/>
    <mergeCell ref="EE18:EI18"/>
    <mergeCell ref="EJ18:ET18"/>
    <mergeCell ref="EU18:FN18"/>
    <mergeCell ref="CF19:CQ19"/>
    <mergeCell ref="CR19:DH19"/>
    <mergeCell ref="DI19:DR19"/>
    <mergeCell ref="DS19:ED19"/>
    <mergeCell ref="EE19:FN19"/>
    <mergeCell ref="EU17:FN17"/>
    <mergeCell ref="BC18:BF18"/>
    <mergeCell ref="BG17:BO17"/>
    <mergeCell ref="DB17:DH17"/>
    <mergeCell ref="BP18:BV18"/>
    <mergeCell ref="BW18:CE18"/>
    <mergeCell ref="CF18:CQ18"/>
    <mergeCell ref="A17:J17"/>
    <mergeCell ref="K17:O17"/>
    <mergeCell ref="P17:AQ17"/>
    <mergeCell ref="AR17:BB17"/>
    <mergeCell ref="BC17:BF17"/>
    <mergeCell ref="DS17:ED17"/>
    <mergeCell ref="EE17:EI17"/>
    <mergeCell ref="EJ17:ET17"/>
    <mergeCell ref="BG18:BO18"/>
    <mergeCell ref="A18:J18"/>
    <mergeCell ref="K18:O18"/>
    <mergeCell ref="P18:AQ18"/>
    <mergeCell ref="AR18:BB18"/>
    <mergeCell ref="DI18:DR18"/>
    <mergeCell ref="CR18:DA18"/>
    <mergeCell ref="DB18:DH18"/>
    <mergeCell ref="DI17:DR17"/>
    <mergeCell ref="EU14:FN15"/>
    <mergeCell ref="CR14:DA15"/>
    <mergeCell ref="DB14:DH15"/>
    <mergeCell ref="DI14:DR15"/>
    <mergeCell ref="DS14:ED15"/>
    <mergeCell ref="EE14:ET14"/>
    <mergeCell ref="EJ16:ET16"/>
    <mergeCell ref="EU16:FN16"/>
    <mergeCell ref="DI16:DR16"/>
    <mergeCell ref="DS16:ED16"/>
    <mergeCell ref="EE16:EI16"/>
    <mergeCell ref="CR16:DA16"/>
    <mergeCell ref="EE15:EI15"/>
    <mergeCell ref="EJ15:ET15"/>
    <mergeCell ref="A16:J16"/>
    <mergeCell ref="K16:O16"/>
    <mergeCell ref="P16:AQ16"/>
    <mergeCell ref="AR16:BB16"/>
    <mergeCell ref="BC16:BF16"/>
    <mergeCell ref="CF14:CQ15"/>
    <mergeCell ref="BG16:BO16"/>
    <mergeCell ref="DB16:DH16"/>
    <mergeCell ref="BP16:BV16"/>
    <mergeCell ref="BW16:CE16"/>
    <mergeCell ref="CF16:CQ16"/>
    <mergeCell ref="A14:J15"/>
    <mergeCell ref="K14:O15"/>
    <mergeCell ref="P14:AQ15"/>
    <mergeCell ref="AR14:BB15"/>
    <mergeCell ref="BC14:BO14"/>
    <mergeCell ref="BP14:BV15"/>
    <mergeCell ref="BW14:CE15"/>
    <mergeCell ref="BC15:BF15"/>
    <mergeCell ref="BG15:BO15"/>
    <mergeCell ref="AT8:CP8"/>
    <mergeCell ref="DS8:FK8"/>
    <mergeCell ref="FL8:FO8"/>
    <mergeCell ref="A9:N12"/>
    <mergeCell ref="AT9:CP9"/>
    <mergeCell ref="DS9:FK9"/>
    <mergeCell ref="FL9:FO9"/>
    <mergeCell ref="AT10:CP10"/>
    <mergeCell ref="CR10:DR12"/>
    <mergeCell ref="AT11:CP11"/>
    <mergeCell ref="AT12:CP12"/>
    <mergeCell ref="DS12:FK12"/>
    <mergeCell ref="FL12:FO12"/>
    <mergeCell ref="AT6:CP6"/>
    <mergeCell ref="DS6:FK6"/>
    <mergeCell ref="FL6:FO6"/>
    <mergeCell ref="A7:G7"/>
    <mergeCell ref="I7:K7"/>
    <mergeCell ref="AT7:CP7"/>
    <mergeCell ref="DS7:FK7"/>
    <mergeCell ref="FL7:FO7"/>
    <mergeCell ref="A2:O5"/>
    <mergeCell ref="AD2:AO2"/>
    <mergeCell ref="AP2:AR2"/>
    <mergeCell ref="AS2:BG2"/>
    <mergeCell ref="BI2:BL2"/>
    <mergeCell ref="CQ2:FN3"/>
    <mergeCell ref="AD3:AO3"/>
    <mergeCell ref="AP3:AR3"/>
    <mergeCell ref="AS3:BG3"/>
    <mergeCell ref="BI3:BL3"/>
  </mergeCells>
  <pageMargins left="0.74803149606299213" right="0.74803149606299213" top="0.98425196850393704" bottom="0.98425196850393704" header="0.51181102362204722" footer="0.51181102362204722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Лист4</vt:lpstr>
      <vt:lpstr>Лист3</vt:lpstr>
      <vt:lpstr>Лист2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Makesha</dc:creator>
  <cp:lastModifiedBy>Ilya Ivanov</cp:lastModifiedBy>
  <cp:lastPrinted>2022-11-29T13:21:41Z</cp:lastPrinted>
  <dcterms:created xsi:type="dcterms:W3CDTF">2022-11-01T13:41:22Z</dcterms:created>
  <dcterms:modified xsi:type="dcterms:W3CDTF">2023-01-17T10:15:36Z</dcterms:modified>
</cp:coreProperties>
</file>