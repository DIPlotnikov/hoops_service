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WorkResources\core\authentication\scripts\sample\"/>
    </mc:Choice>
  </mc:AlternateContent>
  <xr:revisionPtr revIDLastSave="0" documentId="13_ncr:1_{47A8C3E3-FBD5-4992-9319-F2CA8C251BB5}" xr6:coauthVersionLast="47" xr6:coauthVersionMax="47" xr10:uidLastSave="{00000000-0000-0000-0000-000000000000}"/>
  <bookViews>
    <workbookView xWindow="3900" yWindow="1650" windowWidth="21600" windowHeight="11295" xr2:uid="{00000000-000D-0000-FFFF-FFFF00000000}"/>
  </bookViews>
  <sheets>
    <sheet name="Детализация" sheetId="1" r:id="rId1"/>
    <sheet name="Статистик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2" l="1"/>
  <c r="C8" i="2"/>
  <c r="C3" i="2"/>
  <c r="C2" i="2"/>
  <c r="D13" i="2"/>
  <c r="D12" i="2"/>
  <c r="D7" i="2"/>
  <c r="D6" i="2"/>
  <c r="C13" i="2"/>
  <c r="C12" i="2"/>
  <c r="C7" i="2"/>
  <c r="C6" i="2"/>
  <c r="C16" i="2"/>
  <c r="D16" i="2"/>
  <c r="D15" i="2"/>
  <c r="C15" i="2"/>
  <c r="D14" i="2"/>
  <c r="C14" i="2"/>
  <c r="D11" i="2"/>
  <c r="C11" i="2"/>
  <c r="D10" i="2"/>
  <c r="C10" i="2"/>
  <c r="D9" i="2"/>
  <c r="C9" i="2"/>
  <c r="A1" i="2"/>
  <c r="C18" i="2" l="1"/>
  <c r="D18" i="2" l="1"/>
</calcChain>
</file>

<file path=xl/sharedStrings.xml><?xml version="1.0" encoding="utf-8"?>
<sst xmlns="http://schemas.openxmlformats.org/spreadsheetml/2006/main" count="30" uniqueCount="29">
  <si>
    <t>№</t>
  </si>
  <si>
    <t>Фамилия Имя Отчество</t>
  </si>
  <si>
    <t>Профессия</t>
  </si>
  <si>
    <t>Время начала оказания услуги</t>
  </si>
  <si>
    <t>Время окончания оказания услуги</t>
  </si>
  <si>
    <t>Кол-во часов</t>
  </si>
  <si>
    <t>Дата оказания услуги</t>
  </si>
  <si>
    <t>Выплаты Исполнителю</t>
  </si>
  <si>
    <t>Комиссия агента</t>
  </si>
  <si>
    <t>Итого:</t>
  </si>
  <si>
    <t>Количество исполнителей за период</t>
  </si>
  <si>
    <t>Всего часов за период</t>
  </si>
  <si>
    <t>Банкетный менеджер</t>
  </si>
  <si>
    <t>Кухонный рабочий</t>
  </si>
  <si>
    <t>Детализация по профессиям</t>
  </si>
  <si>
    <t>Официант</t>
  </si>
  <si>
    <t>Бармен</t>
  </si>
  <si>
    <t>Уборщица</t>
  </si>
  <si>
    <t>Повар</t>
  </si>
  <si>
    <t>Су-шеф</t>
  </si>
  <si>
    <t>Старшая горничная</t>
  </si>
  <si>
    <t>Горничная</t>
  </si>
  <si>
    <t>Разнорабочий</t>
  </si>
  <si>
    <t>Название профессии</t>
  </si>
  <si>
    <t>Сумма затрат</t>
  </si>
  <si>
    <r>
      <t xml:space="preserve">Период оказываемых услуг: </t>
    </r>
    <r>
      <rPr>
        <sz val="11"/>
        <color theme="8" tint="-0.249977111117893"/>
        <rFont val="Calibri"/>
        <family val="2"/>
        <charset val="204"/>
        <scheme val="minor"/>
      </rPr>
      <t>01.03.2022-01.04.2022</t>
    </r>
  </si>
  <si>
    <t>Супервайзер/Администратор ресторана</t>
  </si>
  <si>
    <t>Тариф, руб/час</t>
  </si>
  <si>
    <t>Сумма к выплате,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</si>
</sst>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#,##0.00\ &quot;₽&quot;;\-#,##0.00\ &quot;₽&quot;"/>
    <numFmt numFmtId="44" formatCode="_-* #,##0.00\ &quot;₽&quot;_-;\-* #,##0.00\ &quot;₽&quot;_-;_-* &quot;-&quot;??\ &quot;₽&quot;_-;_-@_-"/>
    <numFmt numFmtId="164" formatCode="h:mm;@"/>
    <numFmt numFmtId="165" formatCode="#,##0.00\ &quot;₽&quot;"/>
    <numFmt numFmtId="166" formatCode="dd/mm/yy;@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8" tint="-0.24997711111789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/>
    </xf>
    <xf numFmtId="44" fontId="0" fillId="0" borderId="0" xfId="1" applyFont="1"/>
    <xf numFmtId="44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4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164" fontId="0" fillId="0" borderId="0" xfId="0" applyNumberFormat="1"/>
    <xf numFmtId="164" fontId="0" fillId="0" borderId="6" xfId="0" applyNumberFormat="1" applyBorder="1"/>
    <xf numFmtId="165" fontId="0" fillId="0" borderId="0" xfId="1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6" xfId="0" applyNumberFormat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0" fillId="0" borderId="6" xfId="1" applyNumberFormat="1" applyFon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166" fontId="0" fillId="0" borderId="0" xfId="0" applyNumberFormat="1" applyAlignment="1">
      <alignment horizontal="right"/>
    </xf>
    <xf numFmtId="166" fontId="0" fillId="0" borderId="6" xfId="0" applyNumberFormat="1" applyBorder="1" applyAlignment="1">
      <alignment horizontal="right"/>
    </xf>
    <xf numFmtId="7" fontId="0" fillId="0" borderId="0" xfId="0" applyNumberFormat="1" applyBorder="1" applyAlignment="1">
      <alignment horizontal="right"/>
    </xf>
    <xf numFmtId="7" fontId="0" fillId="0" borderId="0" xfId="0" applyNumberFormat="1" applyAlignment="1">
      <alignment horizontal="right"/>
    </xf>
    <xf numFmtId="7" fontId="0" fillId="0" borderId="6" xfId="0" applyNumberFormat="1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0</xdr:row>
      <xdr:rowOff>466725</xdr:rowOff>
    </xdr:from>
    <xdr:to>
      <xdr:col>9</xdr:col>
      <xdr:colOff>704314</xdr:colOff>
      <xdr:row>0</xdr:row>
      <xdr:rowOff>886311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0093453-9A35-48D4-9B24-D194D253E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6450" y="466725"/>
          <a:ext cx="2018764" cy="419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"/>
  <sheetViews>
    <sheetView tabSelected="1" workbookViewId="0">
      <selection activeCell="H2" sqref="H2"/>
    </sheetView>
  </sheetViews>
  <sheetFormatPr defaultRowHeight="15" x14ac:dyDescent="0.25"/>
  <cols>
    <col min="1" max="1" width="9.140625" style="35"/>
    <col min="2" max="2" width="56.5703125" style="12" customWidth="1"/>
    <col min="3" max="3" width="20.85546875" style="12" customWidth="1"/>
    <col min="4" max="4" width="18.42578125" style="21" customWidth="1"/>
    <col min="5" max="5" width="19.28515625" style="21" customWidth="1"/>
    <col min="6" max="6" width="9.5703125" style="24" bestFit="1" customWidth="1"/>
    <col min="7" max="7" width="9.140625" style="15"/>
    <col min="8" max="8" width="12" style="26" bestFit="1" customWidth="1"/>
    <col min="9" max="9" width="10.140625" style="29" bestFit="1" customWidth="1"/>
    <col min="10" max="10" width="11" style="32" bestFit="1" customWidth="1"/>
    <col min="11" max="11" width="10.28515625" hidden="1" customWidth="1"/>
  </cols>
  <sheetData>
    <row r="1" spans="1:11" ht="71.25" customHeight="1" x14ac:dyDescent="0.25">
      <c r="A1" s="38" t="s">
        <v>25</v>
      </c>
      <c r="B1" s="38"/>
      <c r="C1" s="38"/>
      <c r="D1" s="38"/>
      <c r="E1" s="38"/>
      <c r="F1" s="38"/>
      <c r="G1" s="38"/>
      <c r="H1" s="38"/>
      <c r="I1" s="39"/>
      <c r="J1" s="39"/>
    </row>
    <row r="2" spans="1:11" ht="51" customHeight="1" x14ac:dyDescent="0.25">
      <c r="A2" s="36" t="s">
        <v>0</v>
      </c>
      <c r="B2" s="37" t="s">
        <v>1</v>
      </c>
      <c r="C2" s="8" t="s">
        <v>2</v>
      </c>
      <c r="D2" s="9" t="s">
        <v>3</v>
      </c>
      <c r="E2" s="9" t="s">
        <v>4</v>
      </c>
      <c r="F2" s="10" t="s">
        <v>27</v>
      </c>
      <c r="G2" s="9" t="s">
        <v>5</v>
      </c>
      <c r="H2" s="10" t="s">
        <v>28</v>
      </c>
      <c r="I2" s="9" t="s">
        <v>6</v>
      </c>
      <c r="J2" s="9" t="s">
        <v>7</v>
      </c>
      <c r="K2" s="9" t="s">
        <v>8</v>
      </c>
    </row>
    <row r="3" spans="1:11" x14ac:dyDescent="0.25">
      <c r="A3" s="18"/>
      <c r="B3" s="18"/>
      <c r="C3" s="18"/>
      <c r="D3" s="20"/>
      <c r="E3" s="20"/>
      <c r="F3" s="23"/>
      <c r="G3" s="19"/>
      <c r="H3" s="23"/>
      <c r="I3" s="28"/>
      <c r="J3" s="31"/>
      <c r="K3" s="17"/>
    </row>
    <row r="4" spans="1:11" x14ac:dyDescent="0.25">
      <c r="A4" s="18"/>
      <c r="B4" s="18"/>
      <c r="C4" s="18"/>
      <c r="D4" s="20"/>
      <c r="E4" s="20"/>
      <c r="F4" s="23"/>
      <c r="G4" s="19"/>
      <c r="H4" s="23"/>
      <c r="I4" s="28"/>
      <c r="J4" s="31"/>
      <c r="K4" s="17"/>
    </row>
    <row r="5" spans="1:11" x14ac:dyDescent="0.25">
      <c r="A5" s="18"/>
      <c r="B5" s="18"/>
      <c r="C5" s="18"/>
      <c r="D5" s="20"/>
      <c r="E5" s="20"/>
      <c r="F5" s="23"/>
      <c r="G5" s="19"/>
      <c r="H5" s="23"/>
      <c r="I5" s="28"/>
      <c r="J5" s="31"/>
      <c r="K5" s="17"/>
    </row>
    <row r="6" spans="1:11" x14ac:dyDescent="0.25">
      <c r="A6" s="18"/>
      <c r="B6" s="18"/>
      <c r="C6" s="18"/>
      <c r="D6" s="20"/>
      <c r="E6" s="20"/>
      <c r="F6" s="23"/>
      <c r="G6" s="19"/>
      <c r="H6" s="23"/>
      <c r="I6" s="28"/>
      <c r="J6" s="31"/>
      <c r="K6" s="17"/>
    </row>
    <row r="7" spans="1:11" x14ac:dyDescent="0.25">
      <c r="A7" s="18"/>
      <c r="B7" s="18"/>
      <c r="C7" s="18"/>
      <c r="D7" s="20"/>
      <c r="E7" s="20"/>
      <c r="F7" s="23"/>
      <c r="G7" s="19"/>
      <c r="H7" s="23"/>
      <c r="I7" s="28"/>
      <c r="J7" s="31"/>
      <c r="K7" s="17"/>
    </row>
    <row r="8" spans="1:11" x14ac:dyDescent="0.25">
      <c r="A8" s="18"/>
      <c r="B8" s="18"/>
      <c r="C8" s="18"/>
      <c r="D8" s="20"/>
      <c r="E8" s="20"/>
      <c r="F8" s="23"/>
      <c r="G8" s="19"/>
      <c r="H8" s="23"/>
      <c r="I8" s="28"/>
      <c r="J8" s="31"/>
      <c r="K8" s="17"/>
    </row>
    <row r="9" spans="1:11" x14ac:dyDescent="0.25">
      <c r="A9" s="18"/>
      <c r="B9" s="18"/>
      <c r="C9" s="18"/>
      <c r="D9" s="20"/>
      <c r="E9" s="20"/>
      <c r="F9" s="23"/>
      <c r="G9" s="19"/>
      <c r="H9" s="23"/>
      <c r="I9" s="28"/>
      <c r="J9" s="31"/>
      <c r="K9" s="17"/>
    </row>
    <row r="10" spans="1:11" x14ac:dyDescent="0.25">
      <c r="A10" s="18"/>
      <c r="B10" s="18"/>
      <c r="C10" s="18"/>
      <c r="D10" s="20"/>
      <c r="E10" s="20"/>
      <c r="F10" s="23"/>
      <c r="G10" s="19"/>
      <c r="H10" s="23"/>
      <c r="I10" s="28"/>
      <c r="J10" s="31"/>
      <c r="K10" s="17"/>
    </row>
    <row r="11" spans="1:11" x14ac:dyDescent="0.25">
      <c r="B11" s="13"/>
    </row>
    <row r="12" spans="1:11" x14ac:dyDescent="0.25">
      <c r="A12" s="34"/>
      <c r="B12" s="14"/>
      <c r="C12" s="14"/>
      <c r="D12" s="22"/>
      <c r="E12" s="22"/>
      <c r="F12" s="25"/>
      <c r="G12" s="16"/>
      <c r="H12" s="27"/>
      <c r="I12" s="30"/>
      <c r="J12" s="33"/>
      <c r="K12" s="11"/>
    </row>
    <row r="14" spans="1:11" x14ac:dyDescent="0.25">
      <c r="C14" s="13"/>
    </row>
  </sheetData>
  <mergeCells count="2">
    <mergeCell ref="A1:H1"/>
    <mergeCell ref="I1:J1"/>
  </mergeCells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I9" sqref="I9"/>
    </sheetView>
  </sheetViews>
  <sheetFormatPr defaultRowHeight="15" x14ac:dyDescent="0.25"/>
  <cols>
    <col min="2" max="2" width="56.5703125" customWidth="1"/>
    <col min="3" max="3" width="14" customWidth="1"/>
    <col min="4" max="4" width="18.42578125" customWidth="1"/>
    <col min="7" max="7" width="10" bestFit="1" customWidth="1"/>
    <col min="8" max="8" width="10.140625" bestFit="1" customWidth="1"/>
    <col min="10" max="10" width="10.28515625" customWidth="1"/>
  </cols>
  <sheetData>
    <row r="1" spans="1:4" x14ac:dyDescent="0.25">
      <c r="A1" s="41" t="str">
        <f>Детализация!A1</f>
        <v>Период оказываемых услуг: 01.03.2022-01.04.2022</v>
      </c>
      <c r="B1" s="42"/>
      <c r="C1" s="42"/>
      <c r="D1" s="43"/>
    </row>
    <row r="2" spans="1:4" x14ac:dyDescent="0.25">
      <c r="A2" s="2">
        <v>1</v>
      </c>
      <c r="B2" s="2" t="s">
        <v>10</v>
      </c>
      <c r="C2" s="2">
        <f>COUNTA(Детализация!B3:B1000)</f>
        <v>0</v>
      </c>
      <c r="D2" s="2"/>
    </row>
    <row r="3" spans="1:4" x14ac:dyDescent="0.25">
      <c r="A3" s="2">
        <v>2</v>
      </c>
      <c r="B3" s="2" t="s">
        <v>11</v>
      </c>
      <c r="C3" s="2">
        <f>SUM(Детализация!G3:G1000)/2</f>
        <v>0</v>
      </c>
      <c r="D3" s="2"/>
    </row>
    <row r="4" spans="1:4" x14ac:dyDescent="0.25">
      <c r="A4" s="40" t="s">
        <v>14</v>
      </c>
      <c r="B4" s="40"/>
      <c r="C4" s="40"/>
      <c r="D4" s="40"/>
    </row>
    <row r="5" spans="1:4" x14ac:dyDescent="0.25">
      <c r="A5" s="4"/>
      <c r="B5" s="4" t="s">
        <v>23</v>
      </c>
      <c r="C5" s="4" t="s">
        <v>5</v>
      </c>
      <c r="D5" s="4" t="s">
        <v>24</v>
      </c>
    </row>
    <row r="6" spans="1:4" x14ac:dyDescent="0.25">
      <c r="A6" s="2">
        <v>4</v>
      </c>
      <c r="B6" s="3" t="s">
        <v>15</v>
      </c>
      <c r="C6" s="7">
        <f>SUMIF(Детализация!$C$3:$C$1000,"Официант",Детализация!$G$3:$G$1000)</f>
        <v>0</v>
      </c>
      <c r="D6" s="6">
        <f>SUMIF(Детализация!$C$3:$C$1000,"Официант",Детализация!$H$3:$H$1000)</f>
        <v>0</v>
      </c>
    </row>
    <row r="7" spans="1:4" x14ac:dyDescent="0.25">
      <c r="A7" s="2">
        <v>5</v>
      </c>
      <c r="B7" s="3" t="s">
        <v>16</v>
      </c>
      <c r="C7" s="7">
        <f>SUMIF(Детализация!$C$3:$C$1000,"Бармен",Детализация!$G$3:$G$1000)</f>
        <v>0</v>
      </c>
      <c r="D7" s="6">
        <f>SUMIF(Детализация!$C$3:$C$1000,"Бармен",Детализация!$H$3:$H$1000)</f>
        <v>0</v>
      </c>
    </row>
    <row r="8" spans="1:4" x14ac:dyDescent="0.25">
      <c r="A8" s="2">
        <v>6</v>
      </c>
      <c r="B8" s="3" t="s">
        <v>26</v>
      </c>
      <c r="C8" s="7">
        <f>SUMIF(Детализация!$C$3:$C$1000,"Супервайзер/Администратор ресторана",Детализация!$G$3:$G$1000)</f>
        <v>0</v>
      </c>
      <c r="D8" s="6">
        <f>SUMIF(Детализация!$C$3:$C$1000,"Супервайзер/Администратор ресторана",Детализация!$H$3:$H$1000)</f>
        <v>0</v>
      </c>
    </row>
    <row r="9" spans="1:4" x14ac:dyDescent="0.25">
      <c r="A9" s="2">
        <v>7</v>
      </c>
      <c r="B9" s="3" t="s">
        <v>12</v>
      </c>
      <c r="C9" s="7">
        <f>SUMIF(Детализация!$C$3:$C$1000,"Банкетный менеджер",Детализация!$G$3:$G$1000)</f>
        <v>0</v>
      </c>
      <c r="D9" s="6">
        <f>SUMIF(Детализация!$C$3:$C$1000,"Банкетный менеджер",Детализация!$H$3:$H$1000)</f>
        <v>0</v>
      </c>
    </row>
    <row r="10" spans="1:4" x14ac:dyDescent="0.25">
      <c r="A10" s="2">
        <v>8</v>
      </c>
      <c r="B10" s="3" t="s">
        <v>13</v>
      </c>
      <c r="C10" s="7">
        <f>SUMIF(Детализация!$C$3:$C$1000,"Кухонный рабочий",Детализация!$G$3:$G$1000)</f>
        <v>0</v>
      </c>
      <c r="D10" s="6">
        <f>SUMIF(Детализация!$C$3:$C$1000,"Кухонный рабочий",Детализация!$H$3:$H$1000)</f>
        <v>0</v>
      </c>
    </row>
    <row r="11" spans="1:4" x14ac:dyDescent="0.25">
      <c r="A11" s="2">
        <v>9</v>
      </c>
      <c r="B11" s="3" t="s">
        <v>17</v>
      </c>
      <c r="C11" s="7">
        <f>SUMIF(Детализация!$C$3:$C$1000,"Уборщица",Детализация!$G$3:$G$1000)</f>
        <v>0</v>
      </c>
      <c r="D11" s="6">
        <f>SUMIF(Детализация!$C$3:$C$1000,"Уборщица",Детализация!$H$3:$H$1000)</f>
        <v>0</v>
      </c>
    </row>
    <row r="12" spans="1:4" x14ac:dyDescent="0.25">
      <c r="A12" s="2">
        <v>10</v>
      </c>
      <c r="B12" s="3" t="s">
        <v>18</v>
      </c>
      <c r="C12" s="7">
        <f>SUMIF(Детализация!$C$3:$C$1000,"Повар",Детализация!$G$3:$G$1000)</f>
        <v>0</v>
      </c>
      <c r="D12" s="6">
        <f>SUMIF(Детализация!$C$3:$C$1000,"Повар",Детализация!$H$3:$H$1000)</f>
        <v>0</v>
      </c>
    </row>
    <row r="13" spans="1:4" x14ac:dyDescent="0.25">
      <c r="A13" s="2">
        <v>11</v>
      </c>
      <c r="B13" s="3" t="s">
        <v>19</v>
      </c>
      <c r="C13" s="7">
        <f>SUMIF(Детализация!$C$3:$C$1000,"Су-шеф",Детализация!$G$3:$G$1000)</f>
        <v>0</v>
      </c>
      <c r="D13" s="6">
        <f>SUMIF(Детализация!$C$3:$C$1000,"Су-шеф",Детализация!$H$3:$H$1000)</f>
        <v>0</v>
      </c>
    </row>
    <row r="14" spans="1:4" x14ac:dyDescent="0.25">
      <c r="A14" s="2">
        <v>12</v>
      </c>
      <c r="B14" s="3" t="s">
        <v>21</v>
      </c>
      <c r="C14" s="7">
        <f>SUMIF(Детализация!$C$3:$C$1000,"Горничная",Детализация!$G$3:$G$1000)</f>
        <v>0</v>
      </c>
      <c r="D14" s="6">
        <f>SUMIF(Детализация!$C$3:$C$1000,"Горничная",Детализация!$H$3:$H$1000)</f>
        <v>0</v>
      </c>
    </row>
    <row r="15" spans="1:4" x14ac:dyDescent="0.25">
      <c r="A15" s="2">
        <v>13</v>
      </c>
      <c r="B15" s="3" t="s">
        <v>20</v>
      </c>
      <c r="C15" s="7">
        <f>SUMIF(Детализация!$C$3:$C$1000,"Старшая горничная",Детализация!$G$3:$G$1000)</f>
        <v>0</v>
      </c>
      <c r="D15" s="6">
        <f>SUMIF(Детализация!$C$3:$C$1000,"Старшая горничная",Детализация!$H$3:$H$1000)</f>
        <v>0</v>
      </c>
    </row>
    <row r="16" spans="1:4" x14ac:dyDescent="0.25">
      <c r="A16" s="2">
        <v>14</v>
      </c>
      <c r="B16" s="3" t="s">
        <v>22</v>
      </c>
      <c r="C16" s="7">
        <f>SUMIF(Детализация!$C$3:$C$1000,"Разнорабочий",Детализация!$G$3:$G$1000)</f>
        <v>0</v>
      </c>
      <c r="D16" s="6">
        <f>SUMIF(Детализация!$C$3:$C$1000,"Разнорабочий",Детализация!$H$3:$H$1000)</f>
        <v>0</v>
      </c>
    </row>
    <row r="17" spans="2:4" x14ac:dyDescent="0.25">
      <c r="B17" s="1"/>
    </row>
    <row r="18" spans="2:4" x14ac:dyDescent="0.25">
      <c r="B18" s="1" t="s">
        <v>9</v>
      </c>
      <c r="C18">
        <f>SUM(C6:C17)</f>
        <v>0</v>
      </c>
      <c r="D18" s="5">
        <f>SUM(D6:D17)</f>
        <v>0</v>
      </c>
    </row>
  </sheetData>
  <mergeCells count="2">
    <mergeCell ref="A4:D4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Детализация</vt:lpstr>
      <vt:lpstr>Статистика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Зураб Палелашвили</dc:creator>
  <cp:lastModifiedBy>Ilya Ivanov</cp:lastModifiedBy>
  <cp:lastPrinted>2022-03-14T14:10:39Z</cp:lastPrinted>
  <dcterms:created xsi:type="dcterms:W3CDTF">2022-03-14T13:05:46Z</dcterms:created>
  <dcterms:modified xsi:type="dcterms:W3CDTF">2022-06-02T13:43:48Z</dcterms:modified>
</cp:coreProperties>
</file>