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0" yWindow="4095" windowWidth="21600" windowHeight="11385" tabRatio="600" firstSheet="0" activeTab="0" autoFilterDateGrouping="1"/>
  </bookViews>
  <sheets>
    <sheet xmlns:r="http://schemas.openxmlformats.org/officeDocument/2006/relationships" name="Детализация" sheetId="1" state="visible" r:id="rId1"/>
    <sheet xmlns:r="http://schemas.openxmlformats.org/officeDocument/2006/relationships" name="Статистик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&quot;₽&quot;_-;\-* #,##0.00\ &quot;₽&quot;_-;_-* &quot;-&quot;??\ &quot;₽&quot;_-;_-@_-"/>
  </numFmts>
  <fonts count="4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  <font>
      <name val="Calibri"/>
      <charset val="204"/>
      <family val="2"/>
      <color theme="8" tint="-0.249977111117893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/>
    </xf>
    <xf numFmtId="164" fontId="0" fillId="0" borderId="0" pivotButton="0" quotePrefix="0" xfId="1"/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20" fontId="0" fillId="0" borderId="1" pivotButton="0" quotePrefix="0" xfId="0"/>
    <xf numFmtId="164" fontId="0" fillId="2" borderId="1" pivotButton="0" quotePrefix="0" xfId="1"/>
    <xf numFmtId="14" fontId="0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6" pivotButton="0" quotePrefix="0" xfId="1"/>
    <xf numFmtId="0" fontId="0" fillId="0" borderId="7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horizontal="left"/>
    </xf>
    <xf numFmtId="0" fontId="0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2" borderId="1" pivotButton="0" quotePrefix="0" xfId="1"/>
    <xf numFmtId="164" fontId="0" fillId="0" borderId="1" pivotButton="0" quotePrefix="0" xfId="0"/>
    <xf numFmtId="164" fontId="0" fillId="0" borderId="0" pivotButton="0" quotePrefix="0" xfId="1"/>
    <xf numFmtId="164" fontId="0" fillId="0" borderId="6" pivotButton="0" quotePrefix="0" xfId="1"/>
    <xf numFmtId="164" fontId="0" fillId="0" borderId="1" pivotButton="0" quotePrefix="0" xfId="1"/>
  </cellXfs>
  <cellStyles count="2">
    <cellStyle name="Обычный" xfId="0" builtinId="0"/>
    <cellStyle name="Денежный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tabSelected="1" workbookViewId="0">
      <selection activeCell="B3" sqref="B3:J10"/>
    </sheetView>
  </sheetViews>
  <sheetFormatPr baseColWidth="8" defaultRowHeight="15"/>
  <cols>
    <col width="56.5703125" customWidth="1" min="2" max="2"/>
    <col width="20.85546875" customWidth="1" min="3" max="3"/>
    <col width="18.42578125" customWidth="1" min="4" max="4"/>
    <col width="19.28515625" customWidth="1" min="5" max="5"/>
    <col width="9.5703125" bestFit="1" customWidth="1" min="6" max="6"/>
    <col width="12" bestFit="1" customWidth="1" min="8" max="8"/>
    <col width="10.140625" bestFit="1" customWidth="1" min="9" max="9"/>
    <col width="11" bestFit="1" customWidth="1" min="10" max="10"/>
    <col hidden="1" width="10.28515625" customWidth="1" min="11" max="11"/>
  </cols>
  <sheetData>
    <row r="1">
      <c r="A1" s="20" t="inlineStr"/>
    </row>
    <row r="2" ht="51" customHeight="1">
      <c r="A2" s="9" t="inlineStr">
        <is>
          <t>№</t>
        </is>
      </c>
      <c r="B2" s="9" t="inlineStr">
        <is>
          <t>Фамилия Имя Отчество</t>
        </is>
      </c>
      <c r="C2" s="9" t="inlineStr">
        <is>
          <t>Профессия</t>
        </is>
      </c>
      <c r="D2" s="10" t="inlineStr">
        <is>
          <t>Время начала оказания услуги</t>
        </is>
      </c>
      <c r="E2" s="10" t="inlineStr">
        <is>
          <t>Время окончания оказания услуги</t>
        </is>
      </c>
      <c r="F2" s="11" t="inlineStr">
        <is>
          <t>Тариф руб/час</t>
        </is>
      </c>
      <c r="G2" s="10" t="inlineStr">
        <is>
          <t>Кол-во часов</t>
        </is>
      </c>
      <c r="H2" s="11" t="inlineStr">
        <is>
          <t>Сумма к выплате</t>
        </is>
      </c>
      <c r="I2" s="10" t="inlineStr">
        <is>
          <t>Дата оказания услуги</t>
        </is>
      </c>
      <c r="J2" s="10" t="inlineStr">
        <is>
          <t>Выплаты Исполнителю</t>
        </is>
      </c>
      <c r="K2" s="10" t="inlineStr">
        <is>
          <t>Комиссия агента</t>
        </is>
      </c>
    </row>
    <row r="3">
      <c r="A3" s="3" t="n"/>
      <c r="B3" s="3" t="inlineStr">
        <is>
          <t>name secondName middleName</t>
        </is>
      </c>
      <c r="C3" s="3" t="inlineStr">
        <is>
          <t>Официант</t>
        </is>
      </c>
      <c r="D3" s="12" t="n">
        <v>0.4623093494444445</v>
      </c>
      <c r="E3" s="12" t="n">
        <v>0.9023854198379629</v>
      </c>
      <c r="F3" s="25" t="n">
        <v>500</v>
      </c>
      <c r="G3" s="3">
        <f>IF(OR(D3=0,E3=0),0,IF(E3&gt;=D3,(E3-D3)*24,(("24:00"-D3)+(E3-"00:00"))*24))</f>
        <v/>
      </c>
      <c r="H3" s="25">
        <f>F3*G3</f>
        <v/>
      </c>
      <c r="I3" s="14" t="n">
        <v>44571</v>
      </c>
      <c r="J3" s="26">
        <f>H3/1.2</f>
        <v/>
      </c>
      <c r="K3" s="3" t="n"/>
    </row>
    <row r="4">
      <c r="A4" s="3" t="n"/>
      <c r="B4" s="3" t="n"/>
      <c r="C4" s="3" t="n"/>
      <c r="D4" s="12" t="n"/>
      <c r="E4" s="12" t="n"/>
      <c r="F4" s="25" t="n"/>
      <c r="G4" s="3" t="n"/>
      <c r="H4" s="25" t="n"/>
      <c r="I4" s="14" t="n"/>
      <c r="J4" s="26" t="n"/>
      <c r="K4" s="3" t="n"/>
    </row>
    <row r="5">
      <c r="A5" s="3" t="n"/>
      <c r="B5" s="3" t="n"/>
      <c r="C5" s="3" t="n"/>
      <c r="D5" s="12" t="n"/>
      <c r="E5" s="12" t="n"/>
      <c r="F5" s="25" t="n"/>
      <c r="G5" s="3">
        <f>СУММ(G3:G5)</f>
        <v/>
      </c>
      <c r="H5" s="25">
        <f>СУММ(H3:H5)</f>
        <v/>
      </c>
      <c r="I5" s="14" t="n"/>
      <c r="J5" s="26" t="n"/>
      <c r="K5" s="3" t="n"/>
    </row>
    <row r="6">
      <c r="A6" s="3" t="n"/>
      <c r="B6" s="3" t="n"/>
      <c r="C6" s="3" t="n"/>
      <c r="D6" s="12" t="n"/>
      <c r="E6" s="12" t="n"/>
      <c r="F6" s="25" t="n"/>
      <c r="G6" s="3" t="n"/>
      <c r="H6" s="25" t="n"/>
      <c r="I6" s="14" t="n"/>
      <c r="J6" s="26" t="n"/>
      <c r="K6" s="3" t="n"/>
    </row>
    <row r="7">
      <c r="A7" s="3" t="n"/>
      <c r="B7" s="3" t="n"/>
      <c r="C7" s="3" t="n"/>
      <c r="D7" s="12" t="n"/>
      <c r="E7" s="12" t="n"/>
      <c r="F7" s="25" t="n"/>
      <c r="G7" s="3" t="n"/>
      <c r="H7" s="25" t="n"/>
      <c r="I7" s="14" t="n"/>
      <c r="J7" s="26" t="n"/>
      <c r="K7" s="3" t="n"/>
    </row>
    <row r="8">
      <c r="A8" s="3" t="n"/>
      <c r="B8" s="3" t="n"/>
      <c r="C8" s="3" t="n"/>
      <c r="D8" s="12" t="n"/>
      <c r="E8" s="12" t="n"/>
      <c r="F8" s="25" t="n"/>
      <c r="G8" s="3" t="n"/>
      <c r="H8" s="25" t="n"/>
      <c r="I8" s="14" t="n"/>
      <c r="J8" s="26" t="n"/>
      <c r="K8" s="3" t="n"/>
    </row>
    <row r="9">
      <c r="A9" s="3" t="n"/>
      <c r="B9" s="3" t="n"/>
      <c r="C9" s="3" t="n"/>
      <c r="D9" s="12" t="n"/>
      <c r="E9" s="12" t="n"/>
      <c r="F9" s="25" t="n"/>
      <c r="G9" s="3" t="n"/>
      <c r="H9" s="25" t="n"/>
      <c r="I9" s="14" t="n"/>
      <c r="J9" s="26" t="n"/>
      <c r="K9" s="3" t="n"/>
    </row>
    <row r="10">
      <c r="A10" s="3" t="n"/>
      <c r="B10" s="3" t="n"/>
      <c r="C10" s="3" t="n"/>
      <c r="D10" s="12" t="n"/>
      <c r="E10" s="12" t="n"/>
      <c r="F10" s="25" t="n"/>
      <c r="G10" s="3" t="n"/>
      <c r="H10" s="25" t="n"/>
      <c r="I10" s="14" t="n"/>
      <c r="J10" s="26" t="n"/>
      <c r="K10" s="3" t="n"/>
    </row>
    <row r="11">
      <c r="B11" s="1" t="n"/>
      <c r="H11" s="27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28" t="n"/>
      <c r="I12" s="16" t="n"/>
      <c r="J12" s="16" t="n"/>
      <c r="K12" s="18" t="n"/>
    </row>
    <row r="14">
      <c r="C14" s="1" t="n"/>
    </row>
  </sheetData>
  <mergeCells count="1">
    <mergeCell ref="A1:H1"/>
  </mergeCells>
  <pageMargins left="0.7" right="0.7" top="0.75" bottom="0.75" header="0.3" footer="0.3"/>
  <pageSetup orientation="landscape" paperSize="9" scale="7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E24" sqref="E24"/>
    </sheetView>
  </sheetViews>
  <sheetFormatPr baseColWidth="8" defaultRowHeight="15"/>
  <cols>
    <col width="56.5703125" customWidth="1" min="2" max="2"/>
    <col width="14" customWidth="1" min="3" max="3"/>
    <col width="18.42578125" customWidth="1" min="4" max="4"/>
    <col width="10" bestFit="1" customWidth="1" min="7" max="7"/>
    <col width="10.140625" bestFit="1" customWidth="1" min="8" max="8"/>
    <col width="10.28515625" customWidth="1" min="10" max="10"/>
  </cols>
  <sheetData>
    <row r="1">
      <c r="A1" s="3">
        <f>Детализация!A1</f>
        <v/>
      </c>
      <c r="B1" s="23" t="n"/>
      <c r="C1" s="23" t="n"/>
      <c r="D1" s="24" t="n"/>
    </row>
    <row r="2">
      <c r="A2" s="3" t="n">
        <v>1</v>
      </c>
      <c r="B2" s="3" t="inlineStr">
        <is>
          <t>Количество исполнителей за период</t>
        </is>
      </c>
      <c r="C2" s="3">
        <f>COUNTA(Детализация!B3:B10)</f>
        <v/>
      </c>
      <c r="D2" s="3" t="n"/>
    </row>
    <row r="3">
      <c r="A3" s="3" t="n">
        <v>2</v>
      </c>
      <c r="B3" s="3" t="inlineStr">
        <is>
          <t>Всего часов за период</t>
        </is>
      </c>
      <c r="C3" s="3">
        <f>SUM(Детализация!G3:G10)</f>
        <v/>
      </c>
      <c r="D3" s="3" t="n"/>
    </row>
    <row r="4">
      <c r="A4" s="21" t="inlineStr">
        <is>
          <t>Детализация по профессиям</t>
        </is>
      </c>
      <c r="B4" s="23" t="n"/>
      <c r="C4" s="23" t="n"/>
      <c r="D4" s="24" t="n"/>
    </row>
    <row r="5">
      <c r="A5" s="21" t="n"/>
      <c r="B5" s="21" t="inlineStr">
        <is>
          <t>Название профессии</t>
        </is>
      </c>
      <c r="C5" s="21" t="inlineStr">
        <is>
          <t>Кол-во часов</t>
        </is>
      </c>
      <c r="D5" s="21" t="inlineStr">
        <is>
          <t>Сумма затрат</t>
        </is>
      </c>
    </row>
    <row r="6">
      <c r="A6" s="3" t="n">
        <v>4</v>
      </c>
      <c r="B6" s="4" t="inlineStr">
        <is>
          <t>Официант</t>
        </is>
      </c>
      <c r="C6" s="8">
        <f>SUMIF(Детализация!$C$3:$C$10,"официант",Детализация!$G$3:$G$10)</f>
        <v/>
      </c>
      <c r="D6" s="29">
        <f>SUMIF(Детализация!$C$3:$C$10,"официант",Детализация!$H$3:$H$10)</f>
        <v/>
      </c>
    </row>
    <row r="7">
      <c r="A7" s="3" t="n">
        <v>5</v>
      </c>
      <c r="B7" s="4" t="inlineStr">
        <is>
          <t>Бармен</t>
        </is>
      </c>
      <c r="C7" s="8">
        <f>SUMIF(Детализация!$C$3:$C$10,"бармен",Детализация!$G$3:$G$10)</f>
        <v/>
      </c>
      <c r="D7" s="29">
        <f>SUMIF(Детализация!$C$3:$C$10,"бармен",Детализация!$H$3:$H$10)</f>
        <v/>
      </c>
    </row>
    <row r="8">
      <c r="A8" s="3" t="n">
        <v>6</v>
      </c>
      <c r="B8" s="4" t="inlineStr">
        <is>
          <t>Супервайзер/Администратор</t>
        </is>
      </c>
      <c r="C8" s="8">
        <f>SUMIF(Детализация!$C$3:$C$10,"Супервайзер",Детализация!$G$3:$G$10)</f>
        <v/>
      </c>
      <c r="D8" s="29">
        <f>SUMIF(Детализация!$C$3:$C$10,"Супервайзер",Детализация!$H$3:$H$10)</f>
        <v/>
      </c>
    </row>
    <row r="9">
      <c r="A9" s="3" t="n">
        <v>7</v>
      </c>
      <c r="B9" s="4" t="inlineStr">
        <is>
          <t>Банкетный менеджер</t>
        </is>
      </c>
      <c r="C9" s="8">
        <f>SUMIF(Детализация!$C$3:$C$10,"Банкетный менеджер",Детализация!$G$3:$G$10)</f>
        <v/>
      </c>
      <c r="D9" s="29">
        <f>SUMIF(Детализация!$C$3:$C$10,"Банкетный менеджер",Детализация!$H$3:$H$10)</f>
        <v/>
      </c>
    </row>
    <row r="10">
      <c r="A10" s="3" t="n">
        <v>8</v>
      </c>
      <c r="B10" s="4" t="inlineStr">
        <is>
          <t>Кухонный рабочий</t>
        </is>
      </c>
      <c r="C10" s="8">
        <f>SUMIF(Детализация!$C$3:$C$10,"Кухонный рабочий",Детализация!$G$3:$G$10)</f>
        <v/>
      </c>
      <c r="D10" s="29">
        <f>SUMIF(Детализация!$C$3:$C$10,"Кухонный рабочий",Детализация!$H$3:$H$10)</f>
        <v/>
      </c>
    </row>
    <row r="11">
      <c r="A11" s="3" t="n">
        <v>9</v>
      </c>
      <c r="B11" s="4" t="inlineStr">
        <is>
          <t>Уборщица</t>
        </is>
      </c>
      <c r="C11" s="8">
        <f>SUMIF(Детализация!$C$3:$C$10,"Уборщица",Детализация!$G$3:$G$10)</f>
        <v/>
      </c>
      <c r="D11" s="29">
        <f>SUMIF(Детализация!$C$3:$C$10,"Уборщица",Детализация!$H$3:$H$10)</f>
        <v/>
      </c>
    </row>
    <row r="12">
      <c r="A12" s="3" t="n">
        <v>10</v>
      </c>
      <c r="B12" s="4" t="inlineStr">
        <is>
          <t>Повар</t>
        </is>
      </c>
      <c r="C12" s="8">
        <f>SUMIF(Детализация!$C$3:$C$10,"повар",Детализация!$G$3:$G$10)</f>
        <v/>
      </c>
      <c r="D12" s="29">
        <f>SUMIF(Детализация!$C$3:$C$10,"повар",Детализация!$H$3:$H$10)</f>
        <v/>
      </c>
    </row>
    <row r="13">
      <c r="A13" s="3" t="n">
        <v>11</v>
      </c>
      <c r="B13" s="4" t="inlineStr">
        <is>
          <t>Су-шеф</t>
        </is>
      </c>
      <c r="C13" s="8">
        <f>SUMIF(Детализация!$C$3:$C$10,"су-шеф",Детализация!$G$3:$G$10)</f>
        <v/>
      </c>
      <c r="D13" s="29">
        <f>SUMIF(Детализация!$C$3:$C$10,"су-шеф",Детализация!$H$3:$H$10)</f>
        <v/>
      </c>
    </row>
    <row r="14">
      <c r="A14" s="3" t="n">
        <v>12</v>
      </c>
      <c r="B14" s="4" t="inlineStr">
        <is>
          <t>Горничная</t>
        </is>
      </c>
      <c r="C14" s="8">
        <f>SUMIF(Детализация!$C$3:$C$10,"Горничная",Детализация!$G$3:$G$10)</f>
        <v/>
      </c>
      <c r="D14" s="29">
        <f>SUMIF(Детализация!$C$3:$C$10,"Горничная",Детализация!$H$3:$H$10)</f>
        <v/>
      </c>
    </row>
    <row r="15">
      <c r="A15" s="3" t="n">
        <v>13</v>
      </c>
      <c r="B15" s="4" t="inlineStr">
        <is>
          <t>Старшая горничная</t>
        </is>
      </c>
      <c r="C15" s="8">
        <f>SUMIF(Детализация!$C$3:$C$10,"Старшая горничная",Детализация!$G$3:$G$10)</f>
        <v/>
      </c>
      <c r="D15" s="29">
        <f>SUMIF(Детализация!$C$3:$C$10,"Старшая горничная",Детализация!$H$3:$H$10)</f>
        <v/>
      </c>
    </row>
    <row r="16">
      <c r="A16" s="3" t="n">
        <v>14</v>
      </c>
      <c r="B16" s="4" t="inlineStr">
        <is>
          <t>Разнорабочий</t>
        </is>
      </c>
      <c r="C16" s="8">
        <f>SUMIF(Детализация!$C$3:$C$10,"Разнорабочий",Детализация!$G$3:$G$10)</f>
        <v/>
      </c>
      <c r="D16" s="29">
        <f>SUMIF(Детализация!$C$3:$C$10,"Разнорабочий",Детализация!$H$3:$H$10)</f>
        <v/>
      </c>
    </row>
    <row r="17">
      <c r="B17" s="2" t="n"/>
    </row>
    <row r="18">
      <c r="B18" s="2" t="inlineStr">
        <is>
          <t>Итого:</t>
        </is>
      </c>
      <c r="C18">
        <f>SUM(C6:C17)</f>
        <v/>
      </c>
      <c r="D18" s="27">
        <f>SUM(D6:D17)</f>
        <v/>
      </c>
    </row>
  </sheetData>
  <mergeCells count="2">
    <mergeCell ref="A4:D4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Зураб Палелашвили</dc:creator>
  <dcterms:created xmlns:dcterms="http://purl.org/dc/terms/" xmlns:xsi="http://www.w3.org/2001/XMLSchema-instance" xsi:type="dcterms:W3CDTF">2022-03-14T13:05:46Z</dcterms:created>
  <dcterms:modified xmlns:dcterms="http://purl.org/dc/terms/" xmlns:xsi="http://www.w3.org/2001/XMLSchema-instance" xsi:type="dcterms:W3CDTF">2022-04-03T13:53:13Z</dcterms:modified>
  <cp:lastModifiedBy>Ilya Ivanov</cp:lastModifiedBy>
  <cp:lastPrinted>2022-03-14T14:10:39Z</cp:lastPrinted>
</cp:coreProperties>
</file>